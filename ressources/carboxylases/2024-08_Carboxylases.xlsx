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boxylases" sheetId="1" state="visible" r:id="rId3"/>
  </sheets>
  <definedNames>
    <definedName function="false" hidden="true" localSheetId="0" name="_xlnm._FilterDatabase" vbProcedure="false">Carboxylases!$A$1:$W$67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<sst xmlns="http://schemas.openxmlformats.org/spreadsheetml/2006/main" count="1330" uniqueCount="682">
  <si>
    <t xml:space="preserve">PFAM-Accesion</t>
  </si>
  <si>
    <t xml:space="preserve">Name</t>
  </si>
  <si>
    <t xml:space="preserve">Short Name</t>
  </si>
  <si>
    <t xml:space="preserve">Typ</t>
  </si>
  <si>
    <t xml:space="preserve">Carboxylase</t>
  </si>
  <si>
    <t xml:space="preserve">EC-number</t>
  </si>
  <si>
    <t xml:space="preserve">Enzyme class</t>
  </si>
  <si>
    <t xml:space="preserve">CO2-Fixation</t>
  </si>
  <si>
    <t xml:space="preserve">Substrate</t>
  </si>
  <si>
    <t xml:space="preserve">Product</t>
  </si>
  <si>
    <t xml:space="preserve">Cofactors</t>
  </si>
  <si>
    <t xml:space="preserve">UniProt</t>
  </si>
  <si>
    <t xml:space="preserve">organisms</t>
  </si>
  <si>
    <t xml:space="preserve">Sequence</t>
  </si>
  <si>
    <t xml:space="preserve">Prosite_ID (Hits_by_profiles)</t>
  </si>
  <si>
    <t xml:space="preserve">Prosite_Domains</t>
  </si>
  <si>
    <t xml:space="preserve">Prosite_score</t>
  </si>
  <si>
    <t xml:space="preserve">Prosite_ID (Hits_by_patterns)</t>
  </si>
  <si>
    <t xml:space="preserve">Prosite_confidence_level</t>
  </si>
  <si>
    <t xml:space="preserve">SMART_Domains</t>
  </si>
  <si>
    <t xml:space="preserve">KEGG-Map</t>
  </si>
  <si>
    <t xml:space="preserve">Pathway</t>
  </si>
  <si>
    <t xml:space="preserve">BRENDA-Crosslink</t>
  </si>
  <si>
    <t xml:space="preserve">PF00016</t>
  </si>
  <si>
    <t xml:space="preserve">Rubilose biphosphate carboxylase large chain, catalytic domain</t>
  </si>
  <si>
    <t xml:space="preserve">RuBisCO_large</t>
  </si>
  <si>
    <t xml:space="preserve">domain</t>
  </si>
  <si>
    <t xml:space="preserve">ribulose-bisphosphate carboxylase</t>
  </si>
  <si>
    <t xml:space="preserve">4.1.1.39</t>
  </si>
  <si>
    <t xml:space="preserve">Lyases</t>
  </si>
  <si>
    <t xml:space="preserve">CO2</t>
  </si>
  <si>
    <t xml:space="preserve">Ribulose-1,5-bisphosphate</t>
  </si>
  <si>
    <t xml:space="preserve">2-3-phosphoglycerate </t>
  </si>
  <si>
    <t xml:space="preserve">Mg2+</t>
  </si>
  <si>
    <t xml:space="preserve">O03042</t>
  </si>
  <si>
    <t xml:space="preserve">Aradopsis thaliana</t>
  </si>
  <si>
    <t xml:space="preserve">MSPQTETKASVGFKAGVKEYKLTYYTPEYETKDTDILAAFRVTPQPGVPPEEAGAAVAAESSTGTWTTVWTDGLTSLDRYKGRCYHIEPVPGEETQFIAYVAYPLDLFEEGSVTNMFTSIVGNVFGFKALAALRLEDLRIPPAYTKTFQGPPHGIQVERDKLNKYGRPLLGCTIKPKLGLSAKNYGRAVYECLRGGLDFTKDDENVNSQPFMRWRDRFLFCAEAIYKSQAETGEIKGHYLNATAGTCEEMIKRAVFARELGVPIVMHDYLTGGFTANTSLSHYCRDNGLLLHIHRAMHAVIDRQKNHGMHFRVLAKALRLSGGDHIHAGTVVGKLEGDRESTLGFVDLLRDDYVEKDRSRGIFFTQDWVSLPGVLPVASGGIHVWHMPALTEIFGDDSVLQFGGGTLGHPWGNAPGAVANRVALEACVQARNEGRDLAVEGNEIIREACKWSPELAAACEVWKEITFNFPTIDKLDGQE</t>
  </si>
  <si>
    <t xml:space="preserve">-</t>
  </si>
  <si>
    <t xml:space="preserve">PS00157 </t>
  </si>
  <si>
    <r>
      <rPr>
        <b val="true"/>
        <sz val="11"/>
        <color rgb="FF000000"/>
        <rFont val="Arial"/>
        <family val="2"/>
        <charset val="1"/>
      </rPr>
      <t xml:space="preserve">RUBISCO_LARGE</t>
    </r>
    <r>
      <rPr>
        <sz val="12"/>
        <color rgb="FF000000"/>
        <rFont val="Arial"/>
        <family val="2"/>
        <charset val="1"/>
      </rPr>
      <t xml:space="preserve">   </t>
    </r>
    <r>
      <rPr>
        <i val="true"/>
        <sz val="11"/>
        <color rgb="FF000000"/>
        <rFont val="Arial"/>
        <family val="2"/>
        <charset val="1"/>
      </rPr>
      <t xml:space="preserve">Ribulose bisphosphate carboxylase large chain active site</t>
    </r>
    <r>
      <rPr>
        <sz val="12"/>
        <color rgb="FF000000"/>
        <rFont val="Arial"/>
        <family val="2"/>
        <charset val="1"/>
      </rPr>
      <t xml:space="preserve"> </t>
    </r>
  </si>
  <si>
    <t xml:space="preserve">
0</t>
  </si>
  <si>
    <t xml:space="preserve">map00710</t>
  </si>
  <si>
    <t xml:space="preserve">Photosynthetic</t>
  </si>
  <si>
    <t xml:space="preserve">Information on EC 4.1.1.39 - ribulose-bisphosphate carboxylase - BRENDA Enzyme Database (brenda-enzymes.org)</t>
  </si>
  <si>
    <t xml:space="preserve">PF00101</t>
  </si>
  <si>
    <t xml:space="preserve">Rubilose biphosphate carboxylase, small chain</t>
  </si>
  <si>
    <t xml:space="preserve">RuBisCO_small</t>
  </si>
  <si>
    <t xml:space="preserve">P10795</t>
  </si>
  <si>
    <t xml:space="preserve">MASSMLSSATMVASPAQATMVAPFNGLKSSAAFPATRKANNDITSITSNGGRVNCMQVWPPIGKKKFETLSYLPDLTDSELAKEVDYLIRNKWIPCVEFELEHGFVYREHGNSPGYYDGRYWTMWKLPLFGCTDSAQVLKEVEECKKEYPNAFIRIIGFDNTRQVQCISFIAYKPPSFTG</t>
  </si>
  <si>
    <t xml:space="preserve">No_hit</t>
  </si>
  <si>
    <t xml:space="preserve">RuBisCO_small (Ribulose bisphosphate carboxylase, small chain)</t>
  </si>
  <si>
    <t xml:space="preserve">PF00289</t>
  </si>
  <si>
    <t xml:space="preserve">Biotin carboxylase, N-terminal domain</t>
  </si>
  <si>
    <t xml:space="preserve">Biotin_carb_N</t>
  </si>
  <si>
    <t xml:space="preserve">biotin carboxylase</t>
  </si>
  <si>
    <t xml:space="preserve">6.3.4.14</t>
  </si>
  <si>
    <t xml:space="preserve">Ligases</t>
  </si>
  <si>
    <t xml:space="preserve">HCO3-</t>
  </si>
  <si>
    <t xml:space="preserve">propanoyl-CoA</t>
  </si>
  <si>
    <t xml:space="preserve">(S)-methylmalonyl-CoA</t>
  </si>
  <si>
    <t xml:space="preserve">Mg2+; Mn2+</t>
  </si>
  <si>
    <t xml:space="preserve">P05165</t>
  </si>
  <si>
    <t xml:space="preserve">Homo sapiens (Human)</t>
  </si>
  <si>
    <t xml:space="preserve"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</si>
  <si>
    <t xml:space="preserve">PS50979
PS50975 
PS50968 </t>
  </si>
  <si>
    <t xml:space="preserve">BC   Biotin carboxylation domain 
ATP_GRASP   ATP-grasp fold 
BIOTINYL_LIPOYL   Biotinyl/lipoyl domain</t>
  </si>
  <si>
    <t xml:space="preserve">56.530
46.502
28.158</t>
  </si>
  <si>
    <t xml:space="preserve">PS00866
PS00867 
PS00188 </t>
  </si>
  <si>
    <t xml:space="preserve">CPSASE_1   Carbamoyl-phosphate synthase subdomain signature 1 
CPSASE_2   Carbamoyl-phosphate synthase subdomain signature 2
BIOTIN   Biotin-requiring enzymes attachment site </t>
  </si>
  <si>
    <t xml:space="preserve">0
0
0</t>
  </si>
  <si>
    <t xml:space="preserve">Biotin_carb_C (Biotin carboxylase C-terminal domain)</t>
  </si>
  <si>
    <t xml:space="preserve">map00780</t>
  </si>
  <si>
    <t xml:space="preserve">Fatt acid Biosynthesis, gluconeogenesis; urea cycle</t>
  </si>
  <si>
    <t xml:space="preserve">Information on EC 6.3.4.14 - biotin carboxylase - BRENDA Enzyme Database (brenda-enzymes.org)</t>
  </si>
  <si>
    <t xml:space="preserve">PF00311</t>
  </si>
  <si>
    <t xml:space="preserve">Phosphoenolpyruvate carboxylase </t>
  </si>
  <si>
    <t xml:space="preserve">PEPcase</t>
  </si>
  <si>
    <t xml:space="preserve">family</t>
  </si>
  <si>
    <t xml:space="preserve">phosphoenolpyruvate carboxylase</t>
  </si>
  <si>
    <t xml:space="preserve">4.1.1.31</t>
  </si>
  <si>
    <t xml:space="preserve">phosphoenolpyruvate</t>
  </si>
  <si>
    <t xml:space="preserve">oxaloacetate</t>
  </si>
  <si>
    <t xml:space="preserve">P30694</t>
  </si>
  <si>
    <t xml:space="preserve">Flaveria trinervia (Clustered yellowtops) (Oedera trinervia)</t>
  </si>
  <si>
    <t xml:space="preserve">MANRNVEKLASIDAQLRLLVPGKVSEDDKLVEYDALLLDKFLDILQDLHGEDLKEAVQQCYELSAEYEGKHDPKKLEELGSLLTSLDTGDSIVIAKAFSHMLNLANLAEELQIAYRRRIKLKSGDFADEANATTESDIEETFKRLVHKLNKSPEEVFDALKNQTVELVLTAHPTQSVRRSLLQKHGRIRNCLAQLYAKDITPDDKQELDEALHREIQAAFRTDEIRRTPPTPQDEMRAGMSYFHETIWKGVPKFLRRVDTALKNIGINERFPYNAPLIQFSSWMGGDRDGNPRVTPEVTRDVCLLARMMTSNMYFSQIEDLMIEMSMWRCNSELRVRAEELYRTARKDVKHYIEFWKRIPPNQPYRVILGDVRDKLYNTRERSRHLLVDGKSDIPDEAVYTNVEQLLEPLELCYRSLCDCGDHVIADGSLLDFLRQVSTFGLSLVKLDIRQESDRHTEVLDAITQHLGIGSYREWSEEKRQEWLLAELSGKRPLIGPDLPKTEEVKDCLDTFKVLAELPSDCFGAYIISMATSTSDVLAVELLQREYHIKHPLRVVPLFEKLADLEAAPAAMTRLFSMDWYRNRIDGKQEVMIGYSDSGKDAGRFSAAWQLYKTQEQIVKIAKEFGVKLVIFHGRGGTVGRGGGPTHLALLSQPPDTINGSLRVTVQGEVIEQSFGEEHLCFRTLQRFCAATLEHGMNPPISPRPEWRELMDQMAVVATEEYRSVVFKEPRFVEYFRLATPELEFGRMNIGSRPSKRKPSGGIESLRAIPWIFSWTQTRFHLPVWLGFGAAFKHAIQKDSKNLQMLQEMYKTWPFFRVTIDLVEMVFAKGNPGIAALNDKLLVSEDLRPFGESLRANYEETKNYLLKIAGHKDLLEGDPYLKQGIRLRDPYITTLNVCQAYTLKRIRDPNYHVTLRPHISKEYAAEPSKPADELIHLNPTSEYAPGLEDTLILTMKGIAAGMQNTG</t>
  </si>
  <si>
    <t xml:space="preserve">PS00781
PS00393</t>
  </si>
  <si>
    <r>
      <rPr>
        <b val="true"/>
        <sz val="11"/>
        <color rgb="FF000000"/>
        <rFont val="Arial"/>
        <family val="2"/>
        <charset val="1"/>
      </rPr>
      <t xml:space="preserve">PEPCASE_1</t>
    </r>
    <r>
      <rPr>
        <sz val="12"/>
        <color rgb="FF000000"/>
        <rFont val="Arial"/>
        <family val="2"/>
        <charset val="1"/>
      </rPr>
      <t xml:space="preserve">   </t>
    </r>
    <r>
      <rPr>
        <i val="true"/>
        <sz val="11"/>
        <color rgb="FF000000"/>
        <rFont val="Arial"/>
        <family val="2"/>
        <charset val="1"/>
      </rPr>
      <t xml:space="preserve">Phosphoenolpyruvate carboxylase active site 1
PEPCASE_2   Phosphoenolpyruvate carboxylase active site 2</t>
    </r>
  </si>
  <si>
    <t xml:space="preserve">0
0</t>
  </si>
  <si>
    <t xml:space="preserve">C4-photosynthesis
CAM-photosynthesis</t>
  </si>
  <si>
    <t xml:space="preserve">PF02329</t>
  </si>
  <si>
    <t xml:space="preserve">Histidine carboxylase PI chain</t>
  </si>
  <si>
    <t xml:space="preserve">HDC</t>
  </si>
  <si>
    <t xml:space="preserve">histidin carboxylase</t>
  </si>
  <si>
    <t xml:space="preserve">4.1.1.22</t>
  </si>
  <si>
    <t xml:space="preserve">histamine</t>
  </si>
  <si>
    <t xml:space="preserve">L-histidine</t>
  </si>
  <si>
    <t xml:space="preserve">pyruvoyl group</t>
  </si>
  <si>
    <t xml:space="preserve">P00862</t>
  </si>
  <si>
    <t xml:space="preserve">Lactobacillus sp. (strain 30a)</t>
  </si>
  <si>
    <t xml:space="preserve"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</si>
  <si>
    <t xml:space="preserve">map00340</t>
  </si>
  <si>
    <t xml:space="preserve">Histidine metabolism</t>
  </si>
  <si>
    <t xml:space="preserve">Information on EC 4.1.1.22 - histidine decarboxylase - BRENDA Enzyme Database (brenda-enzymes.org)</t>
  </si>
  <si>
    <t xml:space="preserve">PF02341</t>
  </si>
  <si>
    <t xml:space="preserve">RbcX protein</t>
  </si>
  <si>
    <t xml:space="preserve">RbcX</t>
  </si>
  <si>
    <t xml:space="preserve">Q44212</t>
  </si>
  <si>
    <t xml:space="preserve">Anabaena sp.</t>
  </si>
  <si>
    <t xml:space="preserve">MNLKQIAKDTAKTLQSYLTYQALRTVLAQLGETNPPLALWLHNFSAGKVQDGEKYIEELFLEKPDLALRIMTVREHIAEEIAEFLPEMVVTGIQQANMEKRRQHLERMTQVSLSHPSPESEQQQFSDPDWDNLAS</t>
  </si>
  <si>
    <t xml:space="preserve">PF02436</t>
  </si>
  <si>
    <t xml:space="preserve">Conserved carboxylase domain</t>
  </si>
  <si>
    <t xml:space="preserve">PYC_OADA</t>
  </si>
  <si>
    <t xml:space="preserve">pyruvat carboxylase</t>
  </si>
  <si>
    <t xml:space="preserve">6.4.1.1</t>
  </si>
  <si>
    <t xml:space="preserve">pyruvate</t>
  </si>
  <si>
    <t xml:space="preserve">ATP; biotin</t>
  </si>
  <si>
    <t xml:space="preserve">P11498</t>
  </si>
  <si>
    <t xml:space="preserve"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</si>
  <si>
    <t xml:space="preserve">PS50979
PS50975
PS50991 
PS50968 </t>
  </si>
  <si>
    <t xml:space="preserve">BC   Biotin carboxylation domain
ATP_GRASP   ATP-grasp fold 
PYR_CT   Pyruvate carboxyltransferase domain 
BIOTINYL_LIPOYL   Biotinyl/lipoyl domain</t>
  </si>
  <si>
    <t xml:space="preserve">55.883
46.944
36.584
23.638</t>
  </si>
  <si>
    <t xml:space="preserve">PS00188 </t>
  </si>
  <si>
    <r>
      <rPr>
        <b val="true"/>
        <sz val="11"/>
        <color rgb="FF000000"/>
        <rFont val="Arial"/>
        <family val="2"/>
        <charset val="1"/>
      </rPr>
      <t xml:space="preserve">BIOTIN</t>
    </r>
    <r>
      <rPr>
        <sz val="12"/>
        <color rgb="FF000000"/>
        <rFont val="Arial"/>
        <family val="2"/>
        <charset val="1"/>
      </rPr>
      <t xml:space="preserve">   </t>
    </r>
    <r>
      <rPr>
        <i val="true"/>
        <sz val="11"/>
        <color rgb="FF000000"/>
        <rFont val="Arial"/>
        <family val="2"/>
        <charset val="1"/>
      </rPr>
      <t xml:space="preserve">Biotin-requiring enzymes attachment site</t>
    </r>
    <r>
      <rPr>
        <sz val="12"/>
        <color rgb="FF000000"/>
        <rFont val="Arial"/>
        <family val="2"/>
        <charset val="1"/>
      </rPr>
      <t xml:space="preserve"> </t>
    </r>
  </si>
  <si>
    <t xml:space="preserve">Biotin_carb_C (Biotin carboxylase C-terminal domain), 4x low complexity</t>
  </si>
  <si>
    <t xml:space="preserve">map00020</t>
  </si>
  <si>
    <t xml:space="preserve">Citrat cycle</t>
  </si>
  <si>
    <t xml:space="preserve">Information on EC 6.4.1.1 - pyruvate carboxylase - BRENDA Enzyme Database (brenda-enzymes.org)</t>
  </si>
  <si>
    <t xml:space="preserve">PF02626</t>
  </si>
  <si>
    <t xml:space="preserve">Carboxyltransferase domain, subdomain A and B</t>
  </si>
  <si>
    <t xml:space="preserve">CT_A_B</t>
  </si>
  <si>
    <t xml:space="preserve">urea carboxylase</t>
  </si>
  <si>
    <t xml:space="preserve">6.3.4.6</t>
  </si>
  <si>
    <t xml:space="preserve">urea</t>
  </si>
  <si>
    <t xml:space="preserve">urea-1-carboxylate</t>
  </si>
  <si>
    <t xml:space="preserve">biotin</t>
  </si>
  <si>
    <t xml:space="preserve">P38095</t>
  </si>
  <si>
    <t xml:space="preserve">Emericella nidulans (strain FGSC A4 / ATCC 38163 / CBS 112.46 / NRRL 194 / M139) (Aspergillus nidulans)</t>
  </si>
  <si>
    <t xml:space="preserve">MEALKTLLIANRGEIAVRVLKTAKKLNIRTIAVYTEPDAASTHVHLADEAILLSGPPSKAYIDGDQIIDIAKRKGADAIIPGYGFLSENSNFARDVASAGLAFVGPSPESIEAFGLKHTARELATKAGVPIVPGSQGLVTSEDEAVKIAQSLGFPVMLKATAGGGGMGLLTCNTEKEVRESFQTVQSRGEALFKNAGLFIERYYPSSHHIEVQVFGNGQGKAISIGERECSIQRRHQKVIEECPSPFVTRNPELRKGLCDAAVRLAESIDYGSAGTIEYLVDDESGKFFFLEMNTRLQVEHGITELCYGVDLVELMLRQADAQLSGRKGLEAEFLSSIPVGAPQGFAIEARVYAENPVRDFAPCPGILQDVDWKETTGSRIDTWVYRGIKVSANYDPLLAKVMYHASSRQKAIEGLRDILTGSRICGPPTNLGFLAEILANKDFNAGNTLTKFLNNFEYNLAAIDVISGGAYTLIQDWPGRPTVGRGFCHSGPMDSVAFRIANALVGNPVGLEGLEITLSGPELRFLGPAVISLCGAPIDAKLDEAPVPMWSRVKVSAGQRLKIGKTTGGGCRAYLAVLGGFPNIAEWFGSKATAPMVGVGGYQGRQLTSGDYLTISAQIPESDNELSLPEHLIPQYPDSWELMSMPGPYDEGYLAPESIDMLYNAEWTISHNAARGGIRLLGPKPTWARPDGGEGGAHPSNLIECGYAIGSINWTGDDPVIFPQDAPDLGGFVSSHTIVKADLWKLGQVKAGDKLKFRATSLKDTLLARNELERFISDIVQCCQKGEDFGSITPLASSLPPAMSSSTRVSGIVHQIPEKGNQPLVSYRQAGDDYLLIDYGVGAFDLNHRYRVTALKKVLSEAAGDISVSNGLINLVGCGNYLPKALMIYYDGTKIPQQKLIDYLCTIETQLGDLSRAKVPSRRFKLPLTFESKRQTDAIKRYMETQRPYASYLPDNIDFVARNNAFTRAELENIYLTASFMVITVGFFTALPIALPVDPRQRMNCPKMNPSRVFTPAGQVSWGGSCLAIYTVDSPGGYQMNGMTIPGVDILGTKRGYAPEKPWLFEDFDQITFYKVTEEEYERQLALFQSGRYEYEWEVVEFDMAEHNRLLKETKEEVKAIRARQRKAQAEMDLLEKELLERWAKEKAERGVSMDTVEELLKDPEITVIEAPLNANVWKVEVKEGDKLDKDQVVVILEAMKLEIAVRAESAAAGAVVEKILAQPGKSIEAGKPLMLVRRG</t>
  </si>
  <si>
    <t xml:space="preserve">48.524
40.759
22.454</t>
  </si>
  <si>
    <t xml:space="preserve">SCOP d1dv1a2, SCOP d1dv1a3, Biotin_carb_C (Biotin carboxylase C-terminal), AHS2 (Allophanate hydrolase subunit 2), AHS1 (Allophanate hydrolase subunit 1)</t>
  </si>
  <si>
    <t xml:space="preserve">map00230</t>
  </si>
  <si>
    <t xml:space="preserve">Purine metabolism</t>
  </si>
  <si>
    <t xml:space="preserve">Information on EC 6.3.4.6 - urea carboxylase - BRENDA Enzyme Database (brenda-enzymes.org)</t>
  </si>
  <si>
    <t xml:space="preserve">PF02682</t>
  </si>
  <si>
    <t xml:space="preserve">Carboxyltransferase domain, subdomain C and D</t>
  </si>
  <si>
    <t xml:space="preserve">CT_C_D</t>
  </si>
  <si>
    <t xml:space="preserve">P60495</t>
  </si>
  <si>
    <t xml:space="preserve">Bacillus subtilis (strain 168)</t>
  </si>
  <si>
    <t xml:space="preserve">MTVRYQIEQLGDSAMMIRFGEEINEQVNGIVHAAAAYIEEQPFPGFIECIPAFTSLTVFYDMYEVYKHLPQGISSPFESVKRDVEERLAEIAEDYEVNRRIVEIPVCYGGEFGPDLEEVAKINQLSPEEVIDIHTNGEYVVYMLGFAPGFPFLGGMSKRIAAPRKSSPRPSIPAGSVGIAGLQTGVYPISTPGGWQLIGKTPLALFRPQENPPTLLRAGDIVKFVRISEKDYHAYKEESN</t>
  </si>
  <si>
    <t xml:space="preserve">AHS1 (Allophanate hydrolase subunit 1)</t>
  </si>
  <si>
    <t xml:space="preserve">PF02785</t>
  </si>
  <si>
    <t xml:space="preserve">Biotin carboxylase C-terminal domain</t>
  </si>
  <si>
    <t xml:space="preserve">Biotin_carb_C</t>
  </si>
  <si>
    <t xml:space="preserve">PF02788</t>
  </si>
  <si>
    <t xml:space="preserve">Rubilose biphosphate carboxylase large chain, N-terminal domain</t>
  </si>
  <si>
    <t xml:space="preserve">RuBisCO_large_N</t>
  </si>
  <si>
    <t xml:space="preserve">PF03255</t>
  </si>
  <si>
    <t xml:space="preserve">Acetly co-enzyme A carboxylase carboxyltransferase alpha subunit</t>
  </si>
  <si>
    <t xml:space="preserve">ACCA</t>
  </si>
  <si>
    <t xml:space="preserve">acetyl-CoA carboxylase</t>
  </si>
  <si>
    <t xml:space="preserve">6.4.1.2</t>
  </si>
  <si>
    <t xml:space="preserve">acetyl-CoA</t>
  </si>
  <si>
    <t xml:space="preserve">malonyl-CoA</t>
  </si>
  <si>
    <t xml:space="preserve">P0ABD5</t>
  </si>
  <si>
    <t xml:space="preserve">Escherichia coli (strain K12)</t>
  </si>
  <si>
    <t xml:space="preserve">MSLNFLDFEQPIAELEAKIDSLTAVSRQDEKLDINIDEEVHRLREKSVELTRKIFADLGAWQIAQLARHPQRPYTLDYVRLAFDEFDELAGDRAYADDKAIVGGIARLDGRPVMIIGHQKGRETKEKIRRNFGMPAPEGYRKALRLMQMAERFKMPIITFIDTPGAYPGVGAEERGQSEAIARNLREMSRLGVPVVCTVIGEGGSGGALAIGVGDKVNMLQYSTYSVISPEGCASILWKSADKAPLAAEAMGIIAPRLKELKLIDSIIPEPLGGAHRNPEAMAASLKAQLLADLADLDVLSTEDLKNRRYQRLMSYGYA</t>
  </si>
  <si>
    <t xml:space="preserve">PS50989</t>
  </si>
  <si>
    <r>
      <rPr>
        <b val="true"/>
        <sz val="11"/>
        <color rgb="FF000000"/>
        <rFont val="Arial"/>
        <family val="2"/>
        <charset val="1"/>
      </rPr>
      <t xml:space="preserve">COA_CT_CTER</t>
    </r>
    <r>
      <rPr>
        <sz val="12"/>
        <color rgb="FF000000"/>
        <rFont val="Arial"/>
        <family val="2"/>
        <charset val="1"/>
      </rPr>
      <t xml:space="preserve">   </t>
    </r>
    <r>
      <rPr>
        <i val="true"/>
        <sz val="11"/>
        <color rgb="FF000000"/>
        <rFont val="Arial"/>
        <family val="2"/>
        <charset val="1"/>
      </rPr>
      <t xml:space="preserve">Acetyl-coenzyme A (CoA) carboxyltransferase C-terminal domain </t>
    </r>
  </si>
  <si>
    <t xml:space="preserve">map00061</t>
  </si>
  <si>
    <t xml:space="preserve">Fatt acid Biosynthesis</t>
  </si>
  <si>
    <t xml:space="preserve">Information on EC 6.4.1.2 - acetyl-CoA carboxylase - BRENDA Enzyme Database (brenda-enzymes.org)</t>
  </si>
  <si>
    <t xml:space="preserve">PF05090</t>
  </si>
  <si>
    <t xml:space="preserve">Vitamin K-dependent gamma-carboxylase</t>
  </si>
  <si>
    <t xml:space="preserve">VKG_Carbox</t>
  </si>
  <si>
    <t xml:space="preserve">peptidyl-glutamate 4-carboxylase</t>
  </si>
  <si>
    <t xml:space="preserve">4.1.1.90</t>
  </si>
  <si>
    <t xml:space="preserve">ammonium sulfate</t>
  </si>
  <si>
    <t xml:space="preserve">vitamin K exposide</t>
  </si>
  <si>
    <t xml:space="preserve">Vitamine K</t>
  </si>
  <si>
    <t xml:space="preserve">P38435</t>
  </si>
  <si>
    <t xml:space="preserve"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</si>
  <si>
    <t xml:space="preserve">HTTM (Horizontally Transferred TransMembrane Domain), 4x low complexity</t>
  </si>
  <si>
    <t xml:space="preserve">map00130</t>
  </si>
  <si>
    <t xml:space="preserve">Ubiquinone biosynthesis</t>
  </si>
  <si>
    <t xml:space="preserve">Information on EC 4.1.1.90 - peptidyl-glutamate 4-carboxylase - BRENDA Enzyme Database (brenda-enzymes.org)</t>
  </si>
  <si>
    <t xml:space="preserve">PF08326</t>
  </si>
  <si>
    <t xml:space="preserve">Acetyl-CoA carboxylase, central region</t>
  </si>
  <si>
    <t xml:space="preserve">ACC_central</t>
  </si>
  <si>
    <t xml:space="preserve">O00763</t>
  </si>
  <si>
    <t xml:space="preserve"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</si>
  <si>
    <t xml:space="preserve">PS50979 
PS50975 
PS50968
PS50980
PS50989</t>
  </si>
  <si>
    <t xml:space="preserve"> BC   Biotin carboxylation domain
ATP_GRASP   ATP-grasp fold 
BIOTINYL_LIPOYL   Biotinyl/lipoyl domain
COA_CT_NTER   Acetyl-coenzyme A (CoA) carboxyltransferase N-terminal domain
COA_CT_CTER   Acetyl-coenzyme A (CoA) carboxyltransferase C-terminal domain</t>
  </si>
  <si>
    <t xml:space="preserve">46.675
33.139
19.787
56.393
60.168</t>
  </si>
  <si>
    <t xml:space="preserve">PS00866
PS00867 </t>
  </si>
  <si>
    <t xml:space="preserve">CPSASE_1   Carbamoyl-phosphate synthase subdomain signature 1 
CPSASE_2   Carbamoyl-phosphate synthase subdomain signature 2</t>
  </si>
  <si>
    <t xml:space="preserve">transmembrane region, Biotin_carb C(Biotin carboxylase C-terminal) 3x low complexity</t>
  </si>
  <si>
    <t xml:space="preserve">PF08882</t>
  </si>
  <si>
    <t xml:space="preserve">Acetone carboxylase gamma subunit</t>
  </si>
  <si>
    <t xml:space="preserve">Acetone_carb_G</t>
  </si>
  <si>
    <t xml:space="preserve">acetophenone carboxylase</t>
  </si>
  <si>
    <t xml:space="preserve">6.4.1.8</t>
  </si>
  <si>
    <t xml:space="preserve">acetophenone</t>
  </si>
  <si>
    <t xml:space="preserve">3-oxo-3-phenylpropanoate</t>
  </si>
  <si>
    <t xml:space="preserve">Q5P5G4</t>
  </si>
  <si>
    <t xml:space="preserve">Aromatoleum aromaticum (strain EbN1) (Azoarcus sp. (strain EbN1))</t>
  </si>
  <si>
    <t xml:space="preserve">MSSLTNQDAINSIDIDVGGTFTDFVLTLDGERHIAKCPTTPHDLSIGFLNAVEAGGDKVGLSVEELLPRIDIIRYSTTVALNRLLQRQGPRIGLLTTEGHEDAILIGRGAQWTDGQRVAERRNIAVQNKPLPLIERDLILGVRERIDSSGSVVRPLDEEDVRTKLRMLMDRGARAIVVSLLWSFMNPAHEKRVREIIREEYKEYHIGFVPVVMSHSVVSKIGEYERTMTAVLDAYLQRSMQNDIGATWDKLRAKGYHGAFLMIHNSGGSADIFKTPASRTFNGGPVAGLMGSAYFANKLGYKNVVAGDVGGTSFDVALVVESSVRNYTFRPVIDKWMVNVTMMQTISVGSGGGSIAKVDRSGTRLEVGPRSAGSMPGPVCYDLGGTEPTVTDADVVLGYINPDTYYGGRMPLNKAKAEKAIREKIAQPLGIETIEAAALIRYIVDENMASAIKREVHMRGYHPEDFVLFAFGGAGPTHMAGLKGDIPKAVVFPAAPVFCAMGSSIMDIVHMYEQSRRMVFMEPGTEKFVVDYEHFNQTVDTMIERARQELRSEGLEVDDASFGLELDMLYGGQVNLKRMSSPLLHIRTAEDALKVYQAFETEFSEAFSPLVVNKPGGVFLDNFVLRVTVPTWKPPIPEYPLQGTDPSAAFLGKRKAYWPETKHWADTPTYQFELLQAGNVIDGPAIVEAELTTIVVPPRQRLSIDTHGLAILEAIDPAPPTKRVSAAAAAIV</t>
  </si>
  <si>
    <t xml:space="preserve">map00642</t>
  </si>
  <si>
    <t xml:space="preserve">Anaerobic ethylbenzene metabolism</t>
  </si>
  <si>
    <t xml:space="preserve">PF09273</t>
  </si>
  <si>
    <t xml:space="preserve">Rubisco LSMT substrate-binding</t>
  </si>
  <si>
    <t xml:space="preserve">Rubis-subs-bind</t>
  </si>
  <si>
    <t xml:space="preserve">Q84JF5</t>
  </si>
  <si>
    <t xml:space="preserve">MASSVSLQFLTNTFISKPQGFCNGIVSAPRPRSNLLRDRQNGVRPIKVASIETQPFPLFQSPASEESSSSELETADPDFYKIGYVRSVRAYGVEFKEGPDGFGVYASKDIEPRRRARVIMEIPLELMITIRQKHPWMFFPDIVPIGHPIFDIINSTDPEIDWDIRLACLLLFSFDRDDHFWRLYGDFLPAADECSSLLLATEEDLAELQDPDLVSTIRQQQKRILDFWEKNWHSGVPLKIKRLAEDPERFIWAVSMAQTRCISMQTRVGALVQELNMMIPYADMLNHSFEPNCFLHWRPKDRMLEVMSNAGQDIKKGEEMTINYMPGQKNNMLMERYGFSTPVNPWDAIKFSGDSRIHLNSFLSVFNIYGLPEEYYHDSELSRGDTFVDGAVIAAARTLPTWSDIDLPPIPSAERKAVKELQDECRKMLAEYPTTAEQDQKLLDSMSEARTTFATAVKYRMHRKMFIGKIIKALDIYQERLLY</t>
  </si>
  <si>
    <t xml:space="preserve">PS50280</t>
  </si>
  <si>
    <r>
      <rPr>
        <b val="true"/>
        <sz val="11"/>
        <color rgb="FF000000"/>
        <rFont val="Arial"/>
        <family val="2"/>
        <charset val="1"/>
      </rPr>
      <t xml:space="preserve">SET</t>
    </r>
    <r>
      <rPr>
        <sz val="12"/>
        <color rgb="FF000000"/>
        <rFont val="Arial"/>
        <family val="2"/>
        <charset val="1"/>
      </rPr>
      <t xml:space="preserve">   </t>
    </r>
    <r>
      <rPr>
        <i val="true"/>
        <sz val="11"/>
        <color rgb="FF000000"/>
        <rFont val="Arial"/>
        <family val="2"/>
        <charset val="1"/>
      </rPr>
      <t xml:space="preserve">SET domain profile</t>
    </r>
  </si>
  <si>
    <t xml:space="preserve">low complexity, SET (Su(var)3-9, Enhancer-of-zeste, Trithorax)</t>
  </si>
  <si>
    <t xml:space="preserve">PF12338</t>
  </si>
  <si>
    <t xml:space="preserve">Rubilose-1,5-bisphosphate carboxylase small subunit</t>
  </si>
  <si>
    <t xml:space="preserve">RbcS</t>
  </si>
  <si>
    <t xml:space="preserve">PF13822</t>
  </si>
  <si>
    <t xml:space="preserve">Acyl-CoA carboxylase epsilon subunit</t>
  </si>
  <si>
    <t xml:space="preserve">ACC_epsilon</t>
  </si>
  <si>
    <t xml:space="preserve">Mg2+; Mn2+; biotin</t>
  </si>
  <si>
    <t xml:space="preserve">P96886</t>
  </si>
  <si>
    <t xml:space="preserve">Mycobacterium tuberculosis (strain ATCC 25618 / H37Rv)</t>
  </si>
  <si>
    <t xml:space="preserve">MGTCPCESSERNEPVSRVSGTNEVSDGNETNNPAEVSDGNETNNPAEVSDGNETNNPAPVSRVSGTNEVSDGNETNNPAPVSRVSGTNEVSDGNETNNPAPVTEKPLHPHEPHIEILRGQPTDQELAALIAVLGSISGSTPPAQPEPTRWGLPVDQLRYPVFSWQRITLQEMTHMRR</t>
  </si>
  <si>
    <t xml:space="preserve">PF14010</t>
  </si>
  <si>
    <t xml:space="preserve">Phosphoenolpyruvate carboxylase</t>
  </si>
  <si>
    <t xml:space="preserve">O27026</t>
  </si>
  <si>
    <t xml:space="preserve">Methanothermobacter thermautotrophicus (strain ATCC 29096 / DSM 1053 / JCM 10044 / NBRC 100330 / Delta H) </t>
  </si>
  <si>
    <t xml:space="preserve">MKVPRCMSTQHPDNVNPPFFAEEPELGGEDEIREAYYVFSHLGCDEQMWDCEGKEVDNYVVKKLLTKYQAFFRDHVLGEDLRLTLRVPNPTVERAEAKILLETLESIPRSYDTASLFYGMDAAPVFEVILPMTSSSSCLNRIHSYYLDFVKGKERLQLADGVTVKEWIGEFRPDEINVIPLFEDHEGMLNAAKITGEYLDGKDIQEQRVFLARSDPAMNYGMISATLLNRIALSDFRDLEEESGVKLYPIIGMGSAPFRGNLRPDNVEDVTWEYRGAYTFTVQSSFKYDHEPSDVIRGIKKLRSVKPGRAAEIERESVLEIISAYCREYRRQVMDLVDIINRVARYVPGRRKRKLHIGLFGYSRSMGNVSLPRAITFTAALYSLGVPPELLGFNALSSGDLEFIEEVYPGLGRDLHDAARYANPESPFLSPEVKSSFEEYLEPEYDEGHMKTTEEIIRALRINRTANLQELILEAASQRKFLG</t>
  </si>
  <si>
    <t xml:space="preserve">PF17848</t>
  </si>
  <si>
    <t xml:space="preserve">Acetyl-CoA carboxylase zink finger domain</t>
  </si>
  <si>
    <t xml:space="preserve">zf_ACC</t>
  </si>
  <si>
    <t xml:space="preserve">zinc; biotin</t>
  </si>
  <si>
    <t xml:space="preserve">P0A9Q5</t>
  </si>
  <si>
    <t xml:space="preserve">MSWIERIKSNITPTRKASIPEGVWTKCDSCGQVLYRAELERNLEVCPKCDHHMRMTARNRLHSLLDEGSLVELGSELEPKDVLKFRDSKKYKDRLASAQKETGEKDALVVMKGTLYGMPVVAAAFEFAFMGGSMGSVVGARFVRAVEQALEDNCPLICFSASGGARMQEALMSLMQMAKTSAALAKMQERGLPYISVLTDPTMGGVSASFAMLGDLNIAEPKALIGFAGPRVIEQTVREKLPPGFQRSEFLIEKGAIDMIVRRPEMRLKLASILAKLMNLPAPNPEAPREGVVVPPVPDQEPEA</t>
  </si>
  <si>
    <t xml:space="preserve">PS50980    </t>
  </si>
  <si>
    <t xml:space="preserve">COA_CT_NTER   Acetyl-coenzyme A (CoA) carboxyltransferase N-terminal domain</t>
  </si>
  <si>
    <t xml:space="preserve">PF18087</t>
  </si>
  <si>
    <t xml:space="preserve">Rubisco Assembly chaperone C-terminal domain</t>
  </si>
  <si>
    <t xml:space="preserve">RuBisCo_chap_C</t>
  </si>
  <si>
    <t xml:space="preserve">Q9LKR8</t>
  </si>
  <si>
    <t xml:space="preserve">MLSLTATTLSSSIFTQSKTHGFFNTRPVYRKPFTTITSALIPASNRQAPPKQQLYQPFRPPPSPIPPKFRSLDTAGKIEVLADRLGLWFEYAPLISSLYTEGFTPPSIEELTGISGVEQNSLIVGAQVRDSLVQSGAKPELIAAFDTNGAELLYEIRLLNTTQRVAAAEYIVDHGFDTKGAGDLARAIKDFPHRRGDVGLGDFDYNLPGDCLSFMLYRKSREHRSPSEIRTTLLEQALETAVTEKAKKAVLRELHGESEEERVKEEEIKIIRVPVVRLRFGEVAGASSVVVLPVCKAEEGEEKLLEAPMEFESGGEFGVVEAEKDWSRWVVLPGWDPVVAVRKGVAVSFSDDREVLPWNGKGEAIMVVIDREKKTVEADNGYYYLVVADGGMKLDRGLVLKEKGVNESLGMVVLVVRPPRDDDDEWQINDEDWD</t>
  </si>
  <si>
    <t xml:space="preserve">0
</t>
  </si>
  <si>
    <t xml:space="preserve">PF18140</t>
  </si>
  <si>
    <t xml:space="preserve">Propionyl-coenzyme A carboxylase BT domain</t>
  </si>
  <si>
    <t xml:space="preserve">PCC_BT</t>
  </si>
  <si>
    <t xml:space="preserve">Propionyl-CoA carboxylase</t>
  </si>
  <si>
    <t xml:space="preserve">6.4.1.3</t>
  </si>
  <si>
    <t xml:space="preserve">methylmalonyl-CoA</t>
  </si>
  <si>
    <t xml:space="preserve">lph00280
lph00630</t>
  </si>
  <si>
    <t xml:space="preserve">Degradation of branched amino acids and certain fatty acids</t>
  </si>
  <si>
    <t xml:space="preserve">Information on EC 6.4.1.3 - propionyl-CoA carboxylase - BRENDA Enzyme Database (brenda-enzymes.org)</t>
  </si>
  <si>
    <t xml:space="preserve">PF18578</t>
  </si>
  <si>
    <t xml:space="preserve">Rubisco accumulation factor 1 alpha helical domain</t>
  </si>
  <si>
    <t xml:space="preserve">Raf1_N</t>
  </si>
  <si>
    <t xml:space="preserve">PF18579</t>
  </si>
  <si>
    <t xml:space="preserve">Rubisco accumulation factor 1 helix turn helix domain</t>
  </si>
  <si>
    <t xml:space="preserve">Raf_HTH</t>
  </si>
  <si>
    <t xml:space="preserve">Q9SR19</t>
  </si>
  <si>
    <t xml:space="preserve">MFSLKSLISSPFTQSTTHGLFTNPITRPVNPLPRTVSFTVTASMIPKRSSANMIPKNPPARQQLYQPFRPPSSPIPTQFRSLDSAGKIEILAGRMALWFEYAPLISSLYTDGFTPPTIEELTGISSIEQNRLIVGAQVRDSILQSIHEPELISAFDTGGAELLYEIRLLSTTQRVAAATFIIDRNIDSKGAQDLARAIKDYPNRRGDVGWLDFDYNLPGDCLSFLYYRQSRENKNPSDQRTSMLLQALGVAESEKAKNRLNTELYGDKEAEKEKEKKKKEEEVKAIRIPVVRLKFGEVAEATSVVVLPVCKAEEGEKKILEAPMEIIAGGDFKVVEAEKGWKRWVVLPSWNPVAAIGKGGVAVSFRDDRKVLPWDGKEEPLLVVADRVRNVVEADDGYYLVVAENGLKLEKGSDLKAREVKESLGMVVLVVRPPREDDDDWQTSHQNWD</t>
  </si>
  <si>
    <t xml:space="preserve">PS00012 </t>
  </si>
  <si>
    <r>
      <rPr>
        <b val="true"/>
        <sz val="11"/>
        <color rgb="FF000000"/>
        <rFont val="Arial"/>
        <family val="2"/>
        <charset val="1"/>
      </rPr>
      <t xml:space="preserve">PHOSPHOPANTETHEINE</t>
    </r>
    <r>
      <rPr>
        <sz val="12"/>
        <color rgb="FF000000"/>
        <rFont val="Arial"/>
        <family val="2"/>
        <charset val="1"/>
      </rPr>
      <t xml:space="preserve">   </t>
    </r>
    <r>
      <rPr>
        <i val="true"/>
        <sz val="11"/>
        <color rgb="FF000000"/>
        <rFont val="Arial"/>
        <family val="2"/>
        <charset val="1"/>
      </rPr>
      <t xml:space="preserve">Phosphopantetheine attachment site</t>
    </r>
  </si>
  <si>
    <t xml:space="preserve">PF19331</t>
  </si>
  <si>
    <t xml:space="preserve">Methylcrotonyl-CoA carboxylase subunit alpha BT domain</t>
  </si>
  <si>
    <t xml:space="preserve">MCCA_BT</t>
  </si>
  <si>
    <t xml:space="preserve">methylcrotonoyl-CoA carboxylase</t>
  </si>
  <si>
    <t xml:space="preserve">6.4.1.4</t>
  </si>
  <si>
    <t xml:space="preserve">3-methyl-(2E)-butenoyl-CoA</t>
  </si>
  <si>
    <t xml:space="preserve">3-methyl-(2E)-glutaconyl-CoA</t>
  </si>
  <si>
    <t xml:space="preserve">Mn2+</t>
  </si>
  <si>
    <t xml:space="preserve">Q42777</t>
  </si>
  <si>
    <t xml:space="preserve">Glycine max (Soybean) (Glycine hispida)</t>
  </si>
  <si>
    <t xml:space="preserve">MASLALLRRTTLSHSHVRARAFSEGKSSNRHRIEKILVANRGEIACRITRTARRLGIQTVAVYSDADRDSLHVATADEAIRIGPPPARLSYLNGASIVDAAIRSGAQAIHPGYGFLSESADFAKLCEESGLTFIGPPASAIRDMGDKSASKRIMGAAGVPLVPGYHGYDQDIEKMKLEADRIGYPVLIKPTHGGGGKGMRIVHTPDEFVESFLAAQREAAASFGVNTILLEKYITRPRHIEVQIFGDKHGNVLHLYERDCSVQRRHQKIIEEAPAPNISADFRAQLGVAAVSAAKAVNYYNAGTVEFIVDTVSDEFYFMEMNTRLQVEHPVTEMIVGQDLVEWQILVANGEALPLSQSQVPLSGHAFEARIYAENVQKGFLPATGVLHHYHVPVSSAVRVETGVKEGDKVSMHYDPMIAKLVVWGENRAAALVKLKDSLSKFQVAGLPTNVNFLQKLANHRAFAIGNVETHFIDNYKEDLFVDANNSVSVKEAYEAARLNASLVAACLIEKEHFILARNPPGGSSLLPIWYSSPPFRIHHQAKRRMELEWDNEYGSGSSKIMKLTITYQPDGRYLIETEQNGSPVLEVKSTYVKDNYFRVEAAGVINDVNVAVYSKDQIRHIHIWQGSCHHYFREKLGLELSEDEESQHKPKVETSANPQGTVVAPMAGLVVKVLVENKTRVEEGQPVLVLEAMKMEHVVKAPSSGYVHGLQLMVGEQVSDGSVLFSVKDQ</t>
  </si>
  <si>
    <t xml:space="preserve">56.371
46.465
21.948</t>
  </si>
  <si>
    <t xml:space="preserve">map00280</t>
  </si>
  <si>
    <t xml:space="preserve">Leucin degradation</t>
  </si>
  <si>
    <t xml:space="preserve">PF21139</t>
  </si>
  <si>
    <t xml:space="preserve">MCC_alpha_BT</t>
  </si>
  <si>
    <t xml:space="preserve">methylmalonyl-CoA; phosphate</t>
  </si>
  <si>
    <t xml:space="preserve">A0A378UQH5</t>
  </si>
  <si>
    <t xml:space="preserve">Mycolicibacterium aichiense</t>
  </si>
  <si>
    <t xml:space="preserve">MFTTVLVANRGEIAVRVIRTCRAMGIRSVAVYSDADAGARHVIEADTAVRIGPPPARQSYLDIQAVVDAALRTGAQAVHPGYGFLSENSEFAAALEQAGLAFIGPPSGAIRTMGDKIAAKATVSKFGVPVVPGIARPGLTDAELIHAAGDIGFPILVKPSAGGGGKGMRRVDDAADLPAALAAARRESAAAFGDDTLFLERFVLRPRHIEVQVLADCFGNVVHFGERECSLQRRHQKVIEEAPSPLLDPQTRARIGAAACDTARSVDYVGAGTVEFIVSADKPDEFFFMEMNTRLQVEHPVTEMVTGYDLVEWQVRVAAGEKLPFTSDDITLTGHAIEARVYAEDPGAGFLPTGGPVLGLLEPDGVRVDSGLAQGMTIGSDYDPMLSKVIAHGADRAAALRTLDRALSQTAVLGVGTNIEFLRFLLADDDVAAGRLDTGLIDRTRFVPEPAGDDAFIAAAAYRWLKRWPSVPADPWDVPSGWRIGAPAPTGIRLRSGDRTDHVHITGVPAGAVVRIEDGESRSLSAELDGDQLAVTVDGIRSRYTVAVDGDQIWLAGGGRSLVLEEVREAPVRPDDQHSGDAELVSPMPGSVVAVGVDNGDDVAAGTVVVAVEAMKMEHSLTAPIDGVVELHVAVGDQVKVGQLLAKVTAREEKAQS</t>
  </si>
  <si>
    <t xml:space="preserve">53.636
47.974
18.783</t>
  </si>
  <si>
    <t xml:space="preserve">Biotin_carb_C (Biotin carboxylase C-terminal domain), 3x low complexity</t>
  </si>
  <si>
    <t xml:space="preserve">PF21228</t>
  </si>
  <si>
    <t xml:space="preserve">Rubilose biphosphate carboxylase/oxygenase activase, AAA,helical</t>
  </si>
  <si>
    <t xml:space="preserve">RuBisCO_activase_AAA_helical</t>
  </si>
  <si>
    <t xml:space="preserve">P93431</t>
  </si>
  <si>
    <t xml:space="preserve">Oryza sativa subsp. japonica (Rice)</t>
  </si>
  <si>
    <t xml:space="preserve">MAAAFSSTVGAPASTPTNFLGKKLKKQVTSAVNYHGKSSNINRFKVMAKELDEGKQTDQDRWKGLAYDISDDQQDITRGKGFVDSLFQAPTGDGTHEAVLSSYEYLSQGLRTYDFDNTMGGFYIAPAFMDKLVVHISKNFMTLPNIKVPLILGIWGGKGQGKSFQCELVFAKMGINPIMMSAGELESGNAGEPAKLIRQRYREAADIIKKGKMCCLFINDLDAGAGRMGGTTQYTVNNQMVNATLMNIADNPTNVQLPGMYNKEDNPRVPIIVTGNDFSTLYAPLIRDGRMEKFYWAPTRDDRVGVCKGIFRTDNVPDEDIVKIVDSFPGQSIDFFGALRARVYDDEVRKWVSDTGVENIGKRLVNSREGPPEFEQPKMTIEKLMEYGYMLVKEQENVKRVQLAEQYLSEAALGDANSDAMKTGSFYGQGAQQAGNLPVPEGCTDPVAKNFDPTARSDDGSCLYTF</t>
  </si>
  <si>
    <t xml:space="preserve">PF21385</t>
  </si>
  <si>
    <t xml:space="preserve">Acetyl-CoA carboxylase, BT domain</t>
  </si>
  <si>
    <t xml:space="preserve">ACCA_BT</t>
  </si>
  <si>
    <t xml:space="preserve">PF02261</t>
  </si>
  <si>
    <t xml:space="preserve">Aspartate decarboxylase</t>
  </si>
  <si>
    <t xml:space="preserve">Asp_decarbox</t>
  </si>
  <si>
    <t xml:space="preserve">aspartate alpha-decarboxylase</t>
  </si>
  <si>
    <t xml:space="preserve">4.1.1.11</t>
  </si>
  <si>
    <t xml:space="preserve">lyases</t>
  </si>
  <si>
    <t xml:space="preserve">H+</t>
  </si>
  <si>
    <t xml:space="preserve">l-aspartate</t>
  </si>
  <si>
    <t xml:space="preserve">CO2 + beta-alanine</t>
  </si>
  <si>
    <t xml:space="preserve">pyridoxal 5'-phosphate; pyruvoyl</t>
  </si>
  <si>
    <t xml:space="preserve">P0A790 </t>
  </si>
  <si>
    <t xml:space="preserve">MIRTMLQGKLHRVKVTHADLHYEGSCAIDQDFLDAAGILENEAIDIWNVTNGKRFSTYAIAAERGSRIISVNGAAAHCASVGDIVIIASFVTMPDEEARTWRPNVAYFEGDNEMKRTAKAIPVQVA</t>
  </si>
  <si>
    <t xml:space="preserve">no Hits</t>
  </si>
  <si>
    <t xml:space="preserve">No domains, repeats, motifs or features could be predicted with confidence</t>
  </si>
  <si>
    <t xml:space="preserve">map00250 </t>
  </si>
  <si>
    <t xml:space="preserve">Alanine, aspartate and glutamate metabolism</t>
  </si>
  <si>
    <t xml:space="preserve">Information on EC 4.1.1.11 - aspartate 1-decarboxylase - BRENDA Enzyme Database (brenda-enzymes.org)</t>
  </si>
  <si>
    <t xml:space="preserve">PF05870</t>
  </si>
  <si>
    <t xml:space="preserve">Phenolic acid decarboxylase (PAD)</t>
  </si>
  <si>
    <t xml:space="preserve">PA-decarbox</t>
  </si>
  <si>
    <t xml:space="preserve">phenacrylate decarboxylase</t>
  </si>
  <si>
    <t xml:space="preserve">4.1.1.102</t>
  </si>
  <si>
    <t xml:space="preserve">cinnamate; 4-coumarate</t>
  </si>
  <si>
    <t xml:space="preserve">CO2 + styrene; CO2 +  4-vinylphenol</t>
  </si>
  <si>
    <t xml:space="preserve">riboflavin-5'-phosphate</t>
  </si>
  <si>
    <t xml:space="preserve">O07006 </t>
  </si>
  <si>
    <t xml:space="preserve">MENFIGSHMIYTYENGWEYEIYIKNDHTIDYRIHSGMVAGRWVRDQEVNIVKLTEGVYKVSWTEPTGTDVSLNFMPNEKRMHGIIFFPKWVHEHPEITVCYQNDHIDLMKESREKYETYPKYVVPEFAEITFLKNEGVDNEEVISKAPYEGMTDDIRAGRL</t>
  </si>
  <si>
    <t xml:space="preserve">ec00940 </t>
  </si>
  <si>
    <t xml:space="preserve">phenylpropanoid Biosynthesis</t>
  </si>
  <si>
    <t xml:space="preserve">Information on EC 4.1.1.102 - phenacrylate decarboxylase - BRENDA Enzyme Database (brenda-enzymes.org)</t>
  </si>
  <si>
    <t xml:space="preserve">PF05292</t>
  </si>
  <si>
    <t xml:space="preserve">Malonyl-CoA decarboxylase C-terminal domain</t>
  </si>
  <si>
    <t xml:space="preserve">MCD</t>
  </si>
  <si>
    <t xml:space="preserve">4.1.1.9</t>
  </si>
  <si>
    <t xml:space="preserve">acetyl-CoA + CO2</t>
  </si>
  <si>
    <t xml:space="preserve">does not require any cofactors</t>
  </si>
  <si>
    <t xml:space="preserve">O95822 </t>
  </si>
  <si>
    <t xml:space="preserve"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</si>
  <si>
    <t xml:space="preserve">low complexity</t>
  </si>
  <si>
    <t xml:space="preserve">map00410</t>
  </si>
  <si>
    <t xml:space="preserve">beta-Alanine metabolism</t>
  </si>
  <si>
    <t xml:space="preserve">Information on EC 4.1.1.9 - malonyl-CoA decarboxylase - BRENDA Enzyme Database (brenda-enzymes.org)</t>
  </si>
  <si>
    <t xml:space="preserve">PF17408</t>
  </si>
  <si>
    <t xml:space="preserve">Malonyl-CoA decarboxylase N-terminal domain</t>
  </si>
  <si>
    <t xml:space="preserve">MCD_N</t>
  </si>
  <si>
    <t xml:space="preserve">PF01276</t>
  </si>
  <si>
    <t xml:space="preserve">Orn/Lys/Arg decarboxylase, major domain</t>
  </si>
  <si>
    <t xml:space="preserve">ORK_DC_1</t>
  </si>
  <si>
    <t xml:space="preserve">D-ornithine;D-lysine decarboxylase</t>
  </si>
  <si>
    <t xml:space="preserve">4.1.1.116</t>
  </si>
  <si>
    <t xml:space="preserve">D-ornithine</t>
  </si>
  <si>
    <t xml:space="preserve">CO2 + putrescine</t>
  </si>
  <si>
    <t xml:space="preserve">pyridoxal 5'-phosphate</t>
  </si>
  <si>
    <t xml:space="preserve">P28629 </t>
  </si>
  <si>
    <t xml:space="preserve"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VTPREAYNAIVDNNVELVSIENLPGRIAANSVIPYPPGIPMLLSGENFGDKNSPQVSYLRSLQSWDHHFPGFEHETEGTEIIDGIYHVMCVKA</t>
  </si>
  <si>
    <t xml:space="preserve">PS00703 </t>
  </si>
  <si>
    <t xml:space="preserve">Orn/Lys/Arg decarboxylases family 1 pyridoxal-P attachment site</t>
  </si>
  <si>
    <t xml:space="preserve">No domains, repeats, motifs or features could be predicted with confidence.</t>
  </si>
  <si>
    <t xml:space="preserve">map00470</t>
  </si>
  <si>
    <t xml:space="preserve">D-Amino acid metabolism</t>
  </si>
  <si>
    <t xml:space="preserve">Information on EC 4.1.1.116 - D-ornithine/D-lysine decarboxylase - BRENDA Enzyme Database (brenda-enzymes.org)</t>
  </si>
  <si>
    <t xml:space="preserve">PF03711</t>
  </si>
  <si>
    <t xml:space="preserve">Orn/Lys/Arg decarboxylase, C-terminal domain</t>
  </si>
  <si>
    <t xml:space="preserve">ORK_DC_1_C</t>
  </si>
  <si>
    <t xml:space="preserve">arginine decarboxylase</t>
  </si>
  <si>
    <t xml:space="preserve">4.1.1.19</t>
  </si>
  <si>
    <t xml:space="preserve">L-argininne</t>
  </si>
  <si>
    <t xml:space="preserve">CO2 + agmatine</t>
  </si>
  <si>
    <t xml:space="preserve">map00330</t>
  </si>
  <si>
    <t xml:space="preserve">Arginine and proline metabolism</t>
  </si>
  <si>
    <t xml:space="preserve">Information on EC 4.1.1.19 - arginine decarboxylase - BRENDA Enzyme Database (brenda-enzymes.org)</t>
  </si>
  <si>
    <t xml:space="preserve">PF18376</t>
  </si>
  <si>
    <t xml:space="preserve">Mevalonate 5-diphosphate decarboxylase C-terminal domain</t>
  </si>
  <si>
    <t xml:space="preserve">MDD_C</t>
  </si>
  <si>
    <t xml:space="preserve">disphosphomevalonate decarboxylase</t>
  </si>
  <si>
    <t xml:space="preserve">4.1.1.33</t>
  </si>
  <si>
    <t xml:space="preserve">(R)-5-diphosphomevalonate</t>
  </si>
  <si>
    <t xml:space="preserve"> CO2 + isopentenyl diphosphate + phosphate</t>
  </si>
  <si>
    <t xml:space="preserve">ATP</t>
  </si>
  <si>
    <t xml:space="preserve">P53602 </t>
  </si>
  <si>
    <t xml:space="preserve">MASEKPLAAVTCTAPVNIAVIKYWGKRDEELVLPINSSLSVTLHQDQLKTTTTAVISKDFTEDRIWLNGREEDVGQPRLQACLREIRCLARKRRNSRDGDPLPSSLSCKVHVASVNNFPTAAGLASSAAGYACLAYTLARVYGVESDLSEVARRGSGSACRSLYGGFVEWQMGEQADGKDSIARQVAPESHWPELRVLILVVSAEKKLTGSTVGMRASVETSPLLRFRAESVVPARMAEMARCIRERDFPSFAQLTMKDSNQFHATCLDTFPPISYLNAISWRIIHLVHRFNAHHGDTKVAYTFDAGPNAVIFTLDDTVAEFVAAVWHGFPPGSNGDTFLKGLQVRPAPLSAELQAALAMEPTPGGVKYIIVTQVGPGPQILDDPCAHLLGPDGLPKPAA</t>
  </si>
  <si>
    <t xml:space="preserve">no hits</t>
  </si>
  <si>
    <t xml:space="preserve">
map00900</t>
  </si>
  <si>
    <t xml:space="preserve">Terpenoid backbone biosynthesis </t>
  </si>
  <si>
    <t xml:space="preserve">Information on EC 4.1.1.33 - diphosphomevalonate decarboxylase - BRENDA Enzyme Database (brenda-enzymes.org)</t>
  </si>
  <si>
    <t xml:space="preserve">PF09349</t>
  </si>
  <si>
    <t xml:space="preserve">OHCU decarboxylase</t>
  </si>
  <si>
    <t xml:space="preserve">OHCU_decarbox</t>
  </si>
  <si>
    <t xml:space="preserve">2-oxo-4-hydroxy-4-carboxy-5-ureidoimidazoline decarboxylase</t>
  </si>
  <si>
    <t xml:space="preserve">4.1.1.97</t>
  </si>
  <si>
    <t xml:space="preserve">5-hydroxy-2-oxo-4-ureido-2,5-dihydro-1H-imidazole-5-carboxylate </t>
  </si>
  <si>
    <t xml:space="preserve">CO2 + (S)-allantoin</t>
  </si>
  <si>
    <t xml:space="preserve">Q7XXQ9 </t>
  </si>
  <si>
    <t xml:space="preserve">MATTRGQLPVEDVLRVNGSRRFAAALAAASPFASLADALLAARRIWLNEVDVNGWLEAFAAHPAIGTTSSSAPKWCKEEQSAALATATDSTAQELADWNARYREKFGFVFMICASGRTAPEVLAELKRRYENRPIVELEIAAQEELKITELRLAKLFASEPVAPPSSTVGGPTSQSDKAADRMRIIGAHLGSHTQHSANKAPEITGSSNRTRPPITTHVLDVARGSPASGIEVHLEMWKDASTPPSFNNKDFNGWATLGSSVTNNDGRSGQLMDIVNNVAPGFYRISFNTSKYAPSGFFPYVSIIFEIKKNQTTEHFHVPLLHSPFSFTTYRGS</t>
  </si>
  <si>
    <t xml:space="preserve">PS00768 </t>
  </si>
  <si>
    <t xml:space="preserve">Transthyretin signature 1</t>
  </si>
  <si>
    <t xml:space="preserve">Information on EC 4.1.1.97 - 2-oxo-4-hydroxy-4-carboxy-5-ureidoimidazoline decarboxylase - BRENDA Enzyme Database (brenda-enzymes.org)</t>
  </si>
  <si>
    <t xml:space="preserve">PF17944</t>
  </si>
  <si>
    <t xml:space="preserve">Arginine decarboxylase C-terminal helical extension</t>
  </si>
  <si>
    <t xml:space="preserve">Arg_decarbox_C</t>
  </si>
  <si>
    <t xml:space="preserve">L-arginine</t>
  </si>
  <si>
    <r>
      <rPr>
        <sz val="11"/>
        <color theme="1"/>
        <rFont val="Aptos Narrow"/>
        <family val="2"/>
        <charset val="1"/>
      </rPr>
      <t xml:space="preserve">pyridoxal 5'-phosphate; Mg</t>
    </r>
    <r>
      <rPr>
        <sz val="10"/>
        <color theme="1"/>
        <rFont val="Aptos Narrow"/>
        <family val="2"/>
        <charset val="1"/>
      </rPr>
      <t xml:space="preserve">2</t>
    </r>
    <r>
      <rPr>
        <sz val="11"/>
        <color theme="1"/>
        <rFont val="Aptos Narrow"/>
        <family val="2"/>
        <charset val="1"/>
      </rPr>
      <t xml:space="preserve">+</t>
    </r>
  </si>
  <si>
    <t xml:space="preserve">P21170 </t>
  </si>
  <si>
    <t xml:space="preserve">MSDDMSMGLPSSAGEHGVLRSMQEVAMSSQEASKMLRTYNIAWWGNNYYDVNELGHISVCPDPDVPEARVDLAQLVKTREAQGQRLPALFCFPQILQHRLRSINAAFKRARESYGYNGDYFLVYPIKVNQHRRVIESLIHSGEPLGLEAGSKAELMAVLAHAGMTRSVIVCNGYKDREYIRLALIGEKMGHKVYLVIEKMSEIAIVLDEAERLNVVPRLGVRARLASQGSGKWQSSGGEKSKFGLAATQVLQLVETLREAGRLDSLQLLHFHLGSQMANIRDIATGVRESARFYVELHKLGVNIQCFDVGGGLGVDYEGTRSQSDCSVNYGLNEYANNIIWAIGDACEENGLPHPTVITESGRAVTAHHTVLVSNIIGVERNEYTVPTAPAEDAPRALQSMWETWQEMHEPGTRRSLREWLHDSQMDLHDIHIGYSSGIFSLQERAWAEQLYLSMCHEVQKQLDPQNRAHRPIIDELQERMADKMYVNFSLFQSMPDAWGIDQLFPVLPLEGLDQVPERRAVLLDITCDSDGAIDHYIDGDGIATTMPMPEYDPENPPMLGFFMVGAYQEILGNMHNLFGDTEAVDVFVFPDGSVEVELSDEGDTVADMLQYVQLDPKTLLTQFRDQVKKTDLDAELQQQFLEEFEAGLYGYTYLEDE</t>
  </si>
  <si>
    <t xml:space="preserve">PS00878
PS00879 </t>
  </si>
  <si>
    <t xml:space="preserve">Orn/DAP/Arg decarboxylases family 2 pyridoxal-P attachment site
Orn/DAP/Arg decarboxylases family 2 signature 2</t>
  </si>
  <si>
    <t xml:space="preserve">PF02784</t>
  </si>
  <si>
    <t xml:space="preserve">Pyridoxal-dependent decarboxylase, pyridoxal binding domain</t>
  </si>
  <si>
    <t xml:space="preserve">Orn_Arg_deC_N</t>
  </si>
  <si>
    <t xml:space="preserve">D-ornithine; D-lysine</t>
  </si>
  <si>
    <t xml:space="preserve">CO2 + putrescine; CO2 + cadacerine</t>
  </si>
  <si>
    <t xml:space="preserve">O14977</t>
  </si>
  <si>
    <t xml:space="preserve">MKGFIDDANYSVGLLDEGTNLGNVIDNYVYEHTLTGKNAFFVGDLGKIVKKHSQWQNVVAQIKPFYTVKCNSAPAVLEILAALGTGFACSSKNEMALVQELGVPPENIIYISPCKQVSQIKYAAKVGVNILTCDNEIELKKIARNHPNAKVLLHIATEDNIGGEEGNMKFGTTLKNCRHLLECAKELDVQIIGVKFHVSSACKESQVYVHALSDARCVFDMAGEIGFTMNMLDIGGGFTGTEFQLEEVNHVISPLLDIYFPEGSGVKIISEPGSYYVSSAFTLAVNIIAKKVVENDKFPSGVEKTGSDEPAFMYYMNDGVYGSFASKLSEDLNTIPEVHKKYKEDEPLFTSSLWGPSCDELDQIVESCLLPELNVGDWLIFDNMGADSFHEPSAFNDFQRPAIYYMMSFSDWYEMQDAGITSDSMMKNFFFVPSCIQLSQEDSFSAEA</t>
  </si>
  <si>
    <t xml:space="preserve">PS00879</t>
  </si>
  <si>
    <t xml:space="preserve">Orn/DAP/Arg decarboxylases family 2 signature 2</t>
  </si>
  <si>
    <t xml:space="preserve">PF21391</t>
  </si>
  <si>
    <t xml:space="preserve">Tyrosine decarboxylase, C-terminal</t>
  </si>
  <si>
    <t xml:space="preserve">tyr_de_CO2_C</t>
  </si>
  <si>
    <t xml:space="preserve">tyrosine decarboxylase</t>
  </si>
  <si>
    <t xml:space="preserve">4.1.1.25</t>
  </si>
  <si>
    <t xml:space="preserve">L-tyrosine</t>
  </si>
  <si>
    <t xml:space="preserve">CO2 + tyramine</t>
  </si>
  <si>
    <t xml:space="preserve">P0DTQ4</t>
  </si>
  <si>
    <t xml:space="preserve">Enterococcus faecalis (strain EnGen0310 / MMH594)</t>
  </si>
  <si>
    <t xml:space="preserve">MKNEKLAKGEMNLNALFIGDKAENGQLYKDLLIDLVDEHLGWRQNYMPQDMPVISSQERTSESYEKTVNHMKDVLNEISSRMRTHSVPWHTAGRYWGHMNSETLMPSLLAYNFAMLWNGNNVAYESSPATSQMEEEVGHEFAHLMSYKNGWGHIVADGSLANLEGLWYARNIKSLPFAMKEVKPELVAGKSDWELLNMPTKEIMDLLESAEDEIDEIKAHSARSGKHLQAIGKWLVPQTKHYSWLKAADIIGIGLDQVIPVPVDHNYRMDINELEKIVRGLAEEQIPVLGVVGVVGSTEEGAVDSIDKIIALRDELMKDGIYYYVHVDAAYGGYGRAIFLDEDNNFIPYEDLQDVHEEYGVFKEKKEHISREVYDAYKAIELAESVTIDPHKMGYIPYSAGGIVIQDIRMRDVISYFATYVFEKGADIPALLGAYILEGSKAGATAASVWAAHHVLPLNVAGYGKLIGASIEGSHHFYNFLNDLTFKVGDKEIEVHTLTHPDFNMVDYVFKEKGNDDLVAMNKLNHDVYDYASYVKGNIYNNEFITSHTDFAIPDYGNSPLKFVNSLGFSDEEWNRAGKVTVLRAAVMTPYMNDKEEFDVYAPKIQAALQEKLEQIYDVK</t>
  </si>
  <si>
    <t xml:space="preserve">map00350</t>
  </si>
  <si>
    <t xml:space="preserve">Tyrosine metabolism</t>
  </si>
  <si>
    <t xml:space="preserve">Information on EC 4.1.1.25 - tyrosine decarboxylase - BRENDA Enzyme Database (brenda-enzymes.org)</t>
  </si>
  <si>
    <t xml:space="preserve">PF00215</t>
  </si>
  <si>
    <t xml:space="preserve">Orotidine 5'-phosphate decarboxylase / HUMPS family</t>
  </si>
  <si>
    <t xml:space="preserve">OMPdecase</t>
  </si>
  <si>
    <t xml:space="preserve">orotidine-5'-phosphate decarboxylase</t>
  </si>
  <si>
    <t xml:space="preserve">4.1.1.23</t>
  </si>
  <si>
    <t xml:space="preserve">orotidine 5'-phosphate </t>
  </si>
  <si>
    <t xml:space="preserve">CO2 + UMP</t>
  </si>
  <si>
    <t xml:space="preserve">P11172</t>
  </si>
  <si>
    <t xml:space="preserve"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</si>
  <si>
    <t xml:space="preserve">PS00103
PS00156 </t>
  </si>
  <si>
    <t xml:space="preserve">Purine/pyrimidine phosphoribosyl transferases signature
Orotidine 5'-phosphate decarboxylase active site</t>
  </si>
  <si>
    <r>
      <rPr>
        <sz val="11"/>
        <color theme="1"/>
        <rFont val="Aptos Narrow"/>
        <family val="2"/>
        <charset val="1"/>
      </rPr>
      <t xml:space="preserve">OMPdecase (Orotidine 5'-phosphate decarboxylase)</t>
    </r>
    <r>
      <rPr>
        <sz val="12"/>
        <color rgb="FF2E2E2E"/>
        <rFont val="Arial"/>
        <family val="2"/>
        <charset val="1"/>
      </rPr>
      <t xml:space="preserve"> domain</t>
    </r>
  </si>
  <si>
    <t xml:space="preserve">map00240</t>
  </si>
  <si>
    <t xml:space="preserve">Pyrimidine metabolism</t>
  </si>
  <si>
    <t xml:space="preserve">Information on EC 4.1.1.23 - orotidine-5'-phosphate decarboxylase - BRENDA Enzyme Database (brenda-enzymes.org)</t>
  </si>
  <si>
    <t xml:space="preserve">PF17950</t>
  </si>
  <si>
    <t xml:space="preserve">S-adenosylmethionine decarboxylase N -terminal</t>
  </si>
  <si>
    <t xml:space="preserve">Spm_Syn_N</t>
  </si>
  <si>
    <t xml:space="preserve">adenosylmethionine decarboxylase</t>
  </si>
  <si>
    <t xml:space="preserve">4.1.1.50</t>
  </si>
  <si>
    <t xml:space="preserve">S-adenosyl-L-methionine</t>
  </si>
  <si>
    <t xml:space="preserve">CO2 + S-adenosyl 3-(methylsulfanyl)propylamine</t>
  </si>
  <si>
    <t xml:space="preserve">pyridoxal 5'-phosphate; thiamine diphosphate</t>
  </si>
  <si>
    <t xml:space="preserve">P52788</t>
  </si>
  <si>
    <t xml:space="preserve">MAAARHSTLDFMLGAKADGETILKGLQSIFQEQGMAESVHTWQDHGYLATYTNKNGSFANLRIYPHGLVLLDLQSYDGDAQGKEEIDSILNKVEERMKELSQDSTGRVKRLPPIVRGGAIDRYWPTADGRLVEYDIDEVVYDEDSPYQNIKILHSKQFGNILILSGDVNLAESDLAYTRAIMGSGKEDYTGKDVLILGGGDGGILCEIVKLKPKMVTMVEIDQMVIDGCKKYMRKTCGDVLDNLKGDCYQVLIEDCIPVLKRYAKEGREFDYVINDLTAVPISTSPEEDSTWEFLRLILDLSMKVLKQDGKYFTQGNCVNLTEALSLYEEQLGRLYCPVEFSKEIVCVPSYLELWVFYTVWKKAKP</t>
  </si>
  <si>
    <t xml:space="preserve">PS51006 </t>
  </si>
  <si>
    <r>
      <rPr>
        <sz val="11"/>
        <color theme="1"/>
        <rFont val="Aptos Narrow"/>
        <family val="2"/>
        <charset val="1"/>
      </rPr>
      <t xml:space="preserve">PABS_2  </t>
    </r>
    <r>
      <rPr>
        <sz val="12"/>
        <color rgb="FF000000"/>
        <rFont val="Arial"/>
        <family val="2"/>
        <charset val="1"/>
      </rPr>
      <t xml:space="preserve">Polyamine biosynthesis (PABS) domain</t>
    </r>
  </si>
  <si>
    <t xml:space="preserve">PS01330</t>
  </si>
  <si>
    <t xml:space="preserve">Polyamine biosynthesis (PABS) domain signature</t>
  </si>
  <si>
    <t xml:space="preserve">map00270</t>
  </si>
  <si>
    <t xml:space="preserve">Cysteine and methionine metabolism</t>
  </si>
  <si>
    <t xml:space="preserve">Information on EC 4.1.1.50 - adenosylmethionine decarboxylase - BRENDA Enzyme Database (brenda-enzymes.org)</t>
  </si>
  <si>
    <t xml:space="preserve">PF06314</t>
  </si>
  <si>
    <t xml:space="preserve">Acetoacetate decarboxylase (ADC)</t>
  </si>
  <si>
    <t xml:space="preserve">ADC</t>
  </si>
  <si>
    <t xml:space="preserve">acetoacetate decarboxylase</t>
  </si>
  <si>
    <t xml:space="preserve">4.1.1.4</t>
  </si>
  <si>
    <t xml:space="preserve">acetoacetate</t>
  </si>
  <si>
    <t xml:space="preserve">CO2 + acetone</t>
  </si>
  <si>
    <t xml:space="preserve">no informations</t>
  </si>
  <si>
    <t xml:space="preserve">Q7NSA6</t>
  </si>
  <si>
    <t xml:space="preserve">Chromobacterium violaceum (strain ATCC 12472 / DSM 30191 / JCM 1249 / NBRC 12614 / NCIMB 9131 / NCTC 9757)</t>
  </si>
  <si>
    <t xml:space="preserve">MKQQEVRQRAFAMPLTSPAFPPGPYRFVNREYMIITYRTDPAAIEAVLPEPLQMAEPVVRYEFIRMPDSTGFGDYSESGQVIPVTFRGERGSYTLAMFLDDQPPLAGGRELWGFPKKAGKPRLEVHQDTLVGSLDFGPVRIATGTMGYKYEALDRSALLASLAEPNFLLKIIPHVDGSPRICELVRYHTTDVAIKGAWSAPGSLELHPHALAPVAALPVLEVLSARHFVCDLTLDLGTVVFDYLRQ</t>
  </si>
  <si>
    <t xml:space="preserve">map00650</t>
  </si>
  <si>
    <t xml:space="preserve">Butanoate metabolism</t>
  </si>
  <si>
    <t xml:space="preserve">Information on EC 4.1.1.4 - acetoacetate decarboxylase - BRENDA Enzyme Database (brenda-enzymes.org)</t>
  </si>
  <si>
    <t xml:space="preserve">PF17528</t>
  </si>
  <si>
    <t xml:space="preserve">Histidine decarboxylase maturation protein HdcB</t>
  </si>
  <si>
    <t xml:space="preserve">hdcB</t>
  </si>
  <si>
    <t xml:space="preserve">histidine decarboxylase</t>
  </si>
  <si>
    <t xml:space="preserve">CO2 + histamine</t>
  </si>
  <si>
    <t xml:space="preserve">P09111 (predicted)</t>
  </si>
  <si>
    <t xml:space="preserve">MSNSNYQVSLERIKKVVPEELLTNALLAAIDNSGERMSQIIVDKKDNGNDYYLTIHRFFVYSNEEFTAFDKEDVADVEFVNGTPDGEVIITLKDGKVLHPSHICYGRAFDFIQDVKPKVITMAGYDSTIRGEFPQLLDPDHAEEIDRLRRWMQDGNISHYEYDDANPAYPKAGK</t>
  </si>
  <si>
    <t xml:space="preserve">PF06833</t>
  </si>
  <si>
    <t xml:space="preserve">Malonate decarboxylase gamma subunit (MdcE)</t>
  </si>
  <si>
    <t xml:space="preserve">MdcE</t>
  </si>
  <si>
    <t xml:space="preserve">malonyl-CoA decarboxylase</t>
  </si>
  <si>
    <t xml:space="preserve">CO2 + acetyl-CoA</t>
  </si>
  <si>
    <t xml:space="preserve">Q9I6S6 </t>
  </si>
  <si>
    <t xml:space="preserve">Pseudomonas aeruginosa (strain ATCC 15692 / DSM 22644 / CIP 104116 / JCM 14847 / LMG 12228 / 1C / PRS 101 / PAO1)</t>
  </si>
  <si>
    <t xml:space="preserve">MSQPFASRGLAWFQALAGSLAPRPGDPASLRVADAELDGYPVRFLAVVPDPDNPFPRARQGEVGLLEGWGLAAAVDEALEADREAPRKRALLAIVDVPSQAYGRREEALGIHQALAGAVDAYARARLAGHPLIGLLVGKAMSGAFLAHGYQANRLIALHDPGVMVHAMGKAAAARITLRSVEELEALAAKVPPMAYDIDSYASLGLLWRTLPVETVEVPSTADLVRVRTCLGEALADILGGPRDLGGRLGAANREASARVRRLLREQW</t>
  </si>
  <si>
    <t xml:space="preserve">map00720</t>
  </si>
  <si>
    <t xml:space="preserve">Carbon fixation pathways in prokaryotes</t>
  </si>
  <si>
    <t xml:space="preserve">PF02675</t>
  </si>
  <si>
    <t xml:space="preserve">S-adenosylmethionine decarboxylase</t>
  </si>
  <si>
    <t xml:space="preserve">AdoMet_dc</t>
  </si>
  <si>
    <t xml:space="preserve">P0A7F6</t>
  </si>
  <si>
    <t xml:space="preserve">MKKLKLHGFNNLTKSLSFCIYDICYAKTAEERDGYIAYIDELYNANRLTEILSETCSIIGANILNIARQDYEPQGASVTILVSEEPVDPKLIDKTEHPGPLPETVVAHLDKSHICVHTYPESHPEGGLCTFRADIEVSTCGVISPLKALNYLIHQLESDIVTIDYRVRGFTRDINGMKHFIDHEINSIQNFMSDDMKALYDMVDVNVYQENIFHTKMLLKEFDLKHYMFHTKPEDLTDSERQEITAALWKEMREIYYGRNMPAV</t>
  </si>
  <si>
    <t xml:space="preserve">PF02666</t>
  </si>
  <si>
    <t xml:space="preserve">Phosphatidylserine decarboxylase</t>
  </si>
  <si>
    <t xml:space="preserve">PS_Dcarbxylase</t>
  </si>
  <si>
    <t xml:space="preserve">phosphatidylserine decarboxylase</t>
  </si>
  <si>
    <t xml:space="preserve">4.1.1.65</t>
  </si>
  <si>
    <t xml:space="preserve">Phosphatidyl-L-serine</t>
  </si>
  <si>
    <t xml:space="preserve">CO2 + phosphatidylethanolamine</t>
  </si>
  <si>
    <t xml:space="preserve">Q9UG56 </t>
  </si>
  <si>
    <t xml:space="preserve">MATSVGHRCLGLLHGVAPWRSSLHPCEITALSQSLQPLRKLPFRAFRTDARKIHTAPARTMFLLRPLPILLVTGGGYAGYRQYEKYRERELEKLGLEIPPKLAGHWEVALYKSVPTRLLSRAWGRLNQVELPHWLRRPVYSLYIWTFGVNMKEAAVEDLHHYRNLSEFFRRKLKPQARPVCGLHSVISPSDGRILNFGQVKNCEVEQVKGVTYSLESFLGPRMCTEDLPFPPAASCDSFKNQLVTREGNELYHCVIYLAPGDYHCFHSPTDWTVSHRRHFPGSLMSVNPGMARWIKELFCHNERVVLTGDWKHGFFSLTAVGATNVGSIRIYFDRDLHTNSPRHSKGSYNDFSFVTHTNREGVPMRKGEHLGEFNLGSTIVLIFEAPKDFNFQLKTGQKIRFGEALGSL</t>
  </si>
  <si>
    <t xml:space="preserve">map00564 </t>
  </si>
  <si>
    <t xml:space="preserve">Glycerophospholipid metabolism</t>
  </si>
  <si>
    <t xml:space="preserve">Information on EC 4.1.1.65 - phosphatidylserine decarboxylase - BRENDA Enzyme Database (brenda-enzymes.org)</t>
  </si>
  <si>
    <t xml:space="preserve">PF12588</t>
  </si>
  <si>
    <t xml:space="preserve">Phophatidylserine decarboxylase</t>
  </si>
  <si>
    <t xml:space="preserve">PSDC</t>
  </si>
  <si>
    <t xml:space="preserve">A0A286LEZ8 </t>
  </si>
  <si>
    <t xml:space="preserve">Psilocybe cyanescens</t>
  </si>
  <si>
    <t xml:space="preserve">MQVLPACQSSALKTLCPSPEAFRKLGWLPTSDEVYNEFIDDLTGRTCNEKYSSQVTLLKPIQDFKTFIENDPIVYQEFISMFEGIEQSPTNYHELCNMFNDIFRKAPLYGDLGPPVYMIMARIMNTQAGFSAFTKESLNFHFKKLFDTWGLFLSSKNSRNVLVADQFDDKHYGWFSERAKTAMMINYPGRTFEKVFICDEHVPYHGFTSYDDFFNRRFRDKDTDRPVVGGVTDTTLIGAACESLSYNVSHNVQSLDTLVIKGEAYSLKHLLHNDPFTPQFEHGSIIQGFLNVTAYHRWHSPVNGTIVKIVNVPGTYFAQAPYTIGSPIPDNDRDPPPYLKSLVYFSNIAARQIMFIEADNKDIGLIFLVFIGMTEISTCEATVCEGQHVNRGDDLGMFHFGGSSFALGLRKDSKAKILEKFAKPGTVIRINELVASVRK</t>
  </si>
  <si>
    <t xml:space="preserve">PF01536</t>
  </si>
  <si>
    <t xml:space="preserve">Adenosylmethionine decarboxylase</t>
  </si>
  <si>
    <t xml:space="preserve">SAM_decarbox</t>
  </si>
  <si>
    <t xml:space="preserve">P17707 </t>
  </si>
  <si>
    <t xml:space="preserve"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</si>
  <si>
    <t xml:space="preserve">PS01336</t>
  </si>
  <si>
    <r>
      <rPr>
        <sz val="11"/>
        <color theme="1"/>
        <rFont val="Aptos Narrow"/>
        <family val="2"/>
        <charset val="1"/>
      </rPr>
      <t xml:space="preserve">ADOMETDC</t>
    </r>
    <r>
      <rPr>
        <sz val="12"/>
        <color rgb="FF000000"/>
        <rFont val="Arial"/>
        <family val="2"/>
        <charset val="1"/>
      </rPr>
      <t xml:space="preserve">   </t>
    </r>
    <r>
      <rPr>
        <i val="true"/>
        <sz val="12"/>
        <color rgb="FF000000"/>
        <rFont val="Arial"/>
        <family val="2"/>
        <charset val="1"/>
      </rPr>
      <t xml:space="preserve">S-adenosylmethionine decarboxylase signature</t>
    </r>
  </si>
  <si>
    <t xml:space="preserve">PF02627</t>
  </si>
  <si>
    <t xml:space="preserve">Carboxymuconolactone decarboxylase family</t>
  </si>
  <si>
    <t xml:space="preserve">CMD</t>
  </si>
  <si>
    <t xml:space="preserve">4-carboxymuconolactone decarboxylase</t>
  </si>
  <si>
    <t xml:space="preserve">4.1.1.44</t>
  </si>
  <si>
    <t xml:space="preserve">2-(carboxymethyl)-5-oxo-2,5-dihydro-2-furoate</t>
  </si>
  <si>
    <t xml:space="preserve">CO2 + (4,5-dihydro-5-oxofuran-2-yl)-acetate</t>
  </si>
  <si>
    <t xml:space="preserve">P47148 </t>
  </si>
  <si>
    <t xml:space="preserve">Saccharomyces cerevisiae (strain ATCC 204508 / S288c) (Baker's yeast)</t>
  </si>
  <si>
    <t xml:space="preserve">MNQILNAQRLIQLSQFHPKLKNIWYLVAAATFSVCNEPQEIPKLYHYAMLLSNDNAHMYRFTLASQTIDLLRSELPMRKTLINENYQQPTFFQKQLTAKFREVILKTGPLAGLPRAINGLTMLKETTPDILVPHLDPIDPWEAAMGNSSPLSETSMRRKHDKTIQERDHTIQNGLRHWNSIYNKVSTRVVNNLNSSYPDLWYYTLVHVYGPLFAFDEILSAQETSLVIIASLVPQDVNPQLRGHLKGALNIGCDKETVEAVRGLAILISQWCGVSWKSGVVKL</t>
  </si>
  <si>
    <t xml:space="preserve">map00362</t>
  </si>
  <si>
    <t xml:space="preserve">Benzoate degradation</t>
  </si>
  <si>
    <t xml:space="preserve">Information on EC 4.1.1.44 - 4-carboxymuconolactone decarboxylase - BRENDA Enzyme Database (brenda-enzymes.org)</t>
  </si>
  <si>
    <t xml:space="preserve">PF06857</t>
  </si>
  <si>
    <t xml:space="preserve">Malonate decarboxylase delta subunit (MdcD)</t>
  </si>
  <si>
    <t xml:space="preserve">ACP</t>
  </si>
  <si>
    <t xml:space="preserve">biotin-independent malonate decarboxylate</t>
  </si>
  <si>
    <t xml:space="preserve">4.1.1.88</t>
  </si>
  <si>
    <t xml:space="preserve">malonate</t>
  </si>
  <si>
    <t xml:space="preserve">CO2 + acetate</t>
  </si>
  <si>
    <t xml:space="preserve">contains a biotin prosthetic group which does not seem to be directly related to malonate decarboxylation</t>
  </si>
  <si>
    <t xml:space="preserve">O06925 </t>
  </si>
  <si>
    <t xml:space="preserve">Malonomonas rubra</t>
  </si>
  <si>
    <t xml:space="preserve">MEGMLNELNFKFKSENPVDVVLPKHHYGVVGSGDLEVLLKKHELEGAVEIRVVSPVRGFDHVWEKVLEKVISDAEVGNVAIEINDNNATPVVVALRLAQALSEAKSAEQSVN</t>
  </si>
  <si>
    <t xml:space="preserve">No hits</t>
  </si>
  <si>
    <t xml:space="preserve">Information on EC 4.1.1.88 - biotin-independent malonate decarboxylase - BRENDA Enzyme Database (brenda-enzymes.org)</t>
  </si>
  <si>
    <t xml:space="preserve">PF01862</t>
  </si>
  <si>
    <t xml:space="preserve">Pyruvoyl-dependent arginine decarboxylase (PvlArgDC)</t>
  </si>
  <si>
    <t xml:space="preserve">PvlArgDC</t>
  </si>
  <si>
    <t xml:space="preserve">Q9Z6M7 </t>
  </si>
  <si>
    <t xml:space="preserve">Chlamydia pneumoniae (Chlamydophila pneumoniae)</t>
  </si>
  <si>
    <t xml:space="preserve">MAYGTRYPTLAFHTGGIGESDDGMPPQPFETFCYDSALLQAKIENFNIVPYTSVLPKELFGNIVPVDTCVKSFKHGAVLEVIMAGRGAALSDGTHAIATGIGICWGKDKNGELIGGWAAEYVEFFPTWINDEIAETHAKMWLKKSLQHELDLRSIAKHSEFQFFHNYINIKQKFGFCLTALGFLNFENAEPAKVN</t>
  </si>
  <si>
    <t xml:space="preserve">PF03306</t>
  </si>
  <si>
    <t xml:space="preserve">Alpha-acetolactate decarboxylase</t>
  </si>
  <si>
    <t xml:space="preserve">AAL_decarboxy</t>
  </si>
  <si>
    <t xml:space="preserve">alpha-acetolactate</t>
  </si>
  <si>
    <t xml:space="preserve">Q8L208 </t>
  </si>
  <si>
    <t xml:space="preserve">Streptococcus thermophilus</t>
  </si>
  <si>
    <t xml:space="preserve">MSEAIKLFQYNTLGALMAGLYGGTLTVGELLEHGDLGLGTLDSIDGELIVLDGKAYQAKGSEGKVEVVEVSPDEKVPYAAVVPHQAEVIFRQRYEMTDKELEDRIESYYDGVNLFRSIKIKGHFKHMHVRMIPKSNADIKFADVATRQPEYEVDDISGTIVGIWTPEMFHGVSVAGYHLHFISDDLTFGGHVMDFVIENGIIEVGPVDQLDQRFPVQDRQYLFAKFNVDEMRKDITKAE</t>
  </si>
  <si>
    <t xml:space="preserve">PF01208</t>
  </si>
  <si>
    <t xml:space="preserve">Uroporphyrinogen decarboxylase (URO-D)</t>
  </si>
  <si>
    <t xml:space="preserve">URO-D</t>
  </si>
  <si>
    <t xml:space="preserve">uroporphyrinogen decarboxylase</t>
  </si>
  <si>
    <t xml:space="preserve">4.1.1.37</t>
  </si>
  <si>
    <t xml:space="preserve">uroporphyrinogen III</t>
  </si>
  <si>
    <t xml:space="preserve">CO2 + uroporphyrinogen III</t>
  </si>
  <si>
    <t xml:space="preserve">enzyme does not require cofactors or prosthetic groups for activity</t>
  </si>
  <si>
    <t xml:space="preserve">P06132 </t>
  </si>
  <si>
    <t xml:space="preserve"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</t>
  </si>
  <si>
    <t xml:space="preserve">PS00906
PS00907</t>
  </si>
  <si>
    <r>
      <rPr>
        <b val="true"/>
        <sz val="12"/>
        <color rgb="FF000000"/>
        <rFont val="Arial"/>
        <family val="2"/>
        <charset val="1"/>
      </rPr>
      <t xml:space="preserve">UROD_1</t>
    </r>
    <r>
      <rPr>
        <sz val="12"/>
        <color rgb="FF000000"/>
        <rFont val="Arial"/>
        <family val="2"/>
        <charset val="1"/>
      </rPr>
      <t xml:space="preserve">   </t>
    </r>
    <r>
      <rPr>
        <i val="true"/>
        <sz val="12"/>
        <color rgb="FF000000"/>
        <rFont val="Arial"/>
        <family val="2"/>
        <charset val="1"/>
      </rPr>
      <t xml:space="preserve">Uroporphyrinogen decarboxylase signature 1
UROD_2   Uroporphyrinogen decarboxylase signature 2</t>
    </r>
  </si>
  <si>
    <t xml:space="preserve">ec00860</t>
  </si>
  <si>
    <t xml:space="preserve">Porphyrin metabolism</t>
  </si>
  <si>
    <t xml:space="preserve">Information on EC 4.1.1.37 - uroporphyrinogen decarboxylase - BRENDA Enzyme Database (brenda-enzymes.org)</t>
  </si>
  <si>
    <t xml:space="preserve">PF08132</t>
  </si>
  <si>
    <t xml:space="preserve">S-adenosyl-l-methionine decarboxylase leader peptide</t>
  </si>
  <si>
    <t xml:space="preserve">AdoMetDC_leader</t>
  </si>
  <si>
    <t xml:space="preserve">Q9SCW2 </t>
  </si>
  <si>
    <t xml:space="preserve">Arabidopsis thaliana (Mouse-ear cress)</t>
  </si>
  <si>
    <t xml:space="preserve">MESKAGNKKSSSNSSLCYEAPLGYSIEDVRPFGGIKKFKSSVYSNCAKRPS</t>
  </si>
  <si>
    <t xml:space="preserve">PF17810</t>
  </si>
  <si>
    <t xml:space="preserve">Arginine decarboxylase helical bundle domain</t>
  </si>
  <si>
    <t xml:space="preserve">Arg_decarb_HB</t>
  </si>
  <si>
    <t xml:space="preserve">PF00282</t>
  </si>
  <si>
    <t xml:space="preserve">Pyridoxal-dependent decarboxylase conserved domain</t>
  </si>
  <si>
    <t xml:space="preserve">Pyridoxal_deC</t>
  </si>
  <si>
    <t xml:space="preserve">4.1.1. (no specific class)</t>
  </si>
  <si>
    <t xml:space="preserve">Pyridoxalphosphat</t>
  </si>
  <si>
    <t xml:space="preserve">CO2 + </t>
  </si>
  <si>
    <t xml:space="preserve">Q6ZQY3 </t>
  </si>
  <si>
    <t xml:space="preserve">MSSDSDRQCPVDGDIDQQEMIPSKKNAVLVDGVVLNGPTTDAKAGEKFVEEACRLIMEEVVLKATDVNEKVCEWRPPEQLKQLLDLEMRDSGEPPHKLLELCRDVIHYSVKTNHPRFFNQLYAGLDYYSLVARFMTEALNPSVYTYEVSPVFLLVEEAVLKKMIEFIGWKEGDGIFNPGGSVSNMYAMNLARYKYCPDIKEKGLSGSPRLILFTSAECHYSMKKAASFLGIGTENVCFVETDGRGKMIPEELEKQVWQARKEGAAPFLVCATSGTTVLGAFDPLDEIADICERHSLWLHVDASWGGSALMSRKHRKLLHGIHRADSVAWNPHKMLMAGIQCCALLVKDKSDLLKKCYSAKASYLFQQDKFYDVSYDTGDKSIQCSRRPDAFKFWMTWKALGTLGLEERVNRALALSRYLVDEIKKREGFKLLMEPEYANICFWYIPPSLREMEEGPEFWAKLNLVAPAIKERMMKKGSLMLGYQPHRGKVNFFRQVVISPQVSREDMDFLLDEIDLLGKDM</t>
  </si>
  <si>
    <t xml:space="preserve">PS00392</t>
  </si>
  <si>
    <r>
      <rPr>
        <sz val="11"/>
        <color theme="1"/>
        <rFont val="Aptos Narrow"/>
        <family val="2"/>
        <charset val="1"/>
      </rPr>
      <t xml:space="preserve"> </t>
    </r>
    <r>
      <rPr>
        <b val="true"/>
        <sz val="12"/>
        <color rgb="FF000000"/>
        <rFont val="Arial"/>
        <family val="2"/>
        <charset val="1"/>
      </rPr>
      <t xml:space="preserve">DDC_GAD_HDC_YDC</t>
    </r>
    <r>
      <rPr>
        <sz val="12"/>
        <color rgb="FF000000"/>
        <rFont val="Arial"/>
        <family val="2"/>
        <charset val="1"/>
      </rPr>
      <t xml:space="preserve">   </t>
    </r>
    <r>
      <rPr>
        <i val="true"/>
        <sz val="12"/>
        <color rgb="FF000000"/>
        <rFont val="Arial"/>
        <family val="2"/>
        <charset val="1"/>
      </rPr>
      <t xml:space="preserve">DDC / GAD / HDC / TyrDC pyridoxal-phosphate attachment site</t>
    </r>
  </si>
  <si>
    <t xml:space="preserve">PF00278</t>
  </si>
  <si>
    <t xml:space="preserve">Pyridoxal-dependent decarboxylase, C-terminal sheet domain</t>
  </si>
  <si>
    <t xml:space="preserve">Orn_DAP_Arg_deC</t>
  </si>
  <si>
    <t xml:space="preserve">ornithine decarboxylase</t>
  </si>
  <si>
    <t xml:space="preserve">4.1.1.17</t>
  </si>
  <si>
    <t xml:space="preserve">L-ornithine</t>
  </si>
  <si>
    <t xml:space="preserve">P11926 </t>
  </si>
  <si>
    <t xml:space="preserve"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</si>
  <si>
    <t xml:space="preserve">PS00878
PS00879  </t>
  </si>
  <si>
    <t xml:space="preserve">ec00480</t>
  </si>
  <si>
    <t xml:space="preserve">Glutathione metabolism</t>
  </si>
  <si>
    <t xml:space="preserve">Information on EC 4.1.1.17 - ornithine decarboxylase - BRENDA Enzyme Database (brenda-enzymes.org)</t>
  </si>
  <si>
    <t xml:space="preserve">PF03709</t>
  </si>
  <si>
    <t xml:space="preserve">Orn/Lys/Arg decarboxylase, N-terminal domain</t>
  </si>
  <si>
    <t xml:space="preserve">OKR_DC_1_N</t>
  </si>
  <si>
    <t xml:space="preserve">PF17645</t>
  </si>
  <si>
    <t xml:space="preserve">Arylmalonate decarboxylase</t>
  </si>
  <si>
    <t xml:space="preserve">Asp-glut_race</t>
  </si>
  <si>
    <t xml:space="preserve">anylmalonate decarboxylase</t>
  </si>
  <si>
    <t xml:space="preserve">4.1.1.76</t>
  </si>
  <si>
    <t xml:space="preserve">2-aryl-2-methylmalonate</t>
  </si>
  <si>
    <t xml:space="preserve">CO2 + 2-arylpropionate</t>
  </si>
  <si>
    <t xml:space="preserve">does not require cofactors; cofactor independent enzyme</t>
  </si>
  <si>
    <t xml:space="preserve">Q05115 </t>
  </si>
  <si>
    <t xml:space="preserve">Bordetella bronchiseptica (Alcaligenes bronchisepticus)</t>
  </si>
  <si>
    <t xml:space="preserve">MQQASTPTIGMIVPPAAGLVPADGARLYPDLPFIASGLGLGSVTPEGYDAVIESVVDHARRLQKQGAAVVSLMGTSLSFYRGAAFNAALTVAMREATGLPCTTMSTAVLNGLRALGVRRVALATAYIDDVNERLAAFLAEESLVPTGCRSLGITGVEAMARVDTATLVDLCVRAFEAAPDSDGILLSCGGLLTLDAIPEVERRLGVPVVSSSPAGFWDAVRLAGGGAKARPGYGRLFDES</t>
  </si>
  <si>
    <t xml:space="preserve">Information on EC 4.1.1.76 - arylmalonate decarboxylase - BRENDA Enzyme Database (brenda-enzymes.org)</t>
  </si>
  <si>
    <t xml:space="preserve">PF04277</t>
  </si>
  <si>
    <t xml:space="preserve">Oxaloacetate decarboxylase, gamma chain</t>
  </si>
  <si>
    <t xml:space="preserve">OAD_gamma</t>
  </si>
  <si>
    <t xml:space="preserve">oxaloacetate decarboxylase</t>
  </si>
  <si>
    <t xml:space="preserve">4.1.1.112</t>
  </si>
  <si>
    <t xml:space="preserve">H+; Co2</t>
  </si>
  <si>
    <t xml:space="preserve">oxalacetate; fumarylpyruvate + Co2</t>
  </si>
  <si>
    <t xml:space="preserve">CO2 + pyruvate</t>
  </si>
  <si>
    <t xml:space="preserve">Q6P587 </t>
  </si>
  <si>
    <t xml:space="preserve">MAASRPLSRFWEWGKNIVCVGRNYADHVREMRSAVLSEPVLFLKPSTAYAPEGSPILMPAYTRNLHHELELGVVMGKRCRAVPEAAAMDYVGGYALCLDMTARDVQDECKKKGLPWTLAKSFTASCPVSAFVPKEKIPDPHKLKLWLKVNGELRQEGETSSMIFSIPYIISYVSKIITLEEGDIILTGTPKGVGPVKENDEIEAGIHGLVSMTFKVEKPEY</t>
  </si>
  <si>
    <t xml:space="preserve">map00620</t>
  </si>
  <si>
    <t xml:space="preserve">Pyruvate metabolism</t>
  </si>
  <si>
    <t xml:space="preserve">Information on EC 4.1.1.112 - oxaloacetate decarboxylase - BRENDA Enzyme Database (brenda-enzymes.org)</t>
  </si>
  <si>
    <t xml:space="preserve">PF11803</t>
  </si>
  <si>
    <t xml:space="preserve">UDP-glucuronate decarboxylase N-terminal</t>
  </si>
  <si>
    <t xml:space="preserve">UXS1_N</t>
  </si>
  <si>
    <t xml:space="preserve">UDP-glucuronate decarboxylase</t>
  </si>
  <si>
    <t xml:space="preserve">4.1.1.35</t>
  </si>
  <si>
    <t xml:space="preserve">UDP-alpha-D-glucuronate</t>
  </si>
  <si>
    <t xml:space="preserve">CO2 + UDP-alpha-D-xylose</t>
  </si>
  <si>
    <t xml:space="preserve">NAD+</t>
  </si>
  <si>
    <t xml:space="preserve">Q8NBZ7 </t>
  </si>
  <si>
    <t xml:space="preserve">MVSKALLRLVSAVNRRRMKLLLGIALLAYVASVWGNFVNMRSIQENGELKIESKIEEMVEPLREKIRDLEKSFTQKYPPVKFLSEKDRKRILITGGAGFVGSHLTDKLMMDGHEVTVVDNFFTGRKRNVEHWIGHENFELINHDVVEPLYIEVDQIYHLASPASPPNYMYNPIKTLKTNTIGTLNMLGLAKRVGARLLLASTSEVYGDPEVHPQSEDYWGHVNPIGPRACYDEGKRVAETMCYAYMKQEGVEVRVARIFNTFGPRMHMNDGRVVSNFILQALQGEPLTVYGSGSQTRAFQYVSDLVNGLVALMNSNVSSPVNLGNPEEHTILEFAQLIKNLVGSGSEIQFLSEAQDDPQKRKPDIKKAKLMLGWEPVVPLEEGLNKAIHYFRKELEYQANNQYIPKPKPARIKKGRTRHS</t>
  </si>
  <si>
    <t xml:space="preserve">transmembrane region</t>
  </si>
  <si>
    <t xml:space="preserve">map00520</t>
  </si>
  <si>
    <t xml:space="preserve">Amino sugar and nucleotide sugar metabolism</t>
  </si>
  <si>
    <t xml:space="preserve">Information on EC 4.1.1.35 - UDP-glucuronate decarboxylase - BRENDA Enzyme Database (brenda-enzymes.org)</t>
  </si>
  <si>
    <t xml:space="preserve">PF03977</t>
  </si>
  <si>
    <t xml:space="preserve">Na+-transporting oxaloacetate decarboxylase beta subunit</t>
  </si>
  <si>
    <t xml:space="preserve">OAD_beta</t>
  </si>
  <si>
    <t xml:space="preserve">P13156 </t>
  </si>
  <si>
    <t xml:space="preserve">Klebsiella pneumoniae</t>
  </si>
  <si>
    <t xml:space="preserve">MESLNALIQGLGLMHLGAGQAIMLLVSLLLLWLAIAKKFEPLLLLPIGFGGLLSNIPEAGLALTALESLLAHRDPAQLAVIAAKLHCAPDVHAIKAALALALPSVQGQMESLAVDMGYSAGVLAIFYKVAIGSGIAPLVIFMGVGAMTDFGPLLANPRTLLLGAAAQFGIFATVLGALTLNYFGIISFTLPQAAAIGIIGGADGPTAIYLSGKLAPELLGAIAVAAYSYMALVPLIQPPIMKALTTDKERKIRMVQLRTVSKREKILFPAVLLLLVALLLPDAAPLLGMFCFGNLMRESGVVERLSDTVQNALINIVTIFLGLSVGAKLVADKFLQPQTLGILVLGVIAFCVGTAAGVLMAKLMNVFSRHKINPLIGSAGVSAVPMAARVSNKVGLEADGQNFLLMHAMGPNVAGVIGSAIAAGVMLKYVLAM</t>
  </si>
  <si>
    <t xml:space="preserve">transmembrane region (9x); low complexity region</t>
  </si>
  <si>
    <t xml:space="preserve">PF01977</t>
  </si>
  <si>
    <t xml:space="preserve">3-octaprenyl-4-hydroxybenzoate carboxy-lyase Rift-related domain</t>
  </si>
  <si>
    <t xml:space="preserve">UbiD</t>
  </si>
  <si>
    <t xml:space="preserve">4-hydroxy-3-polyprenylbenzoate decarboxylase</t>
  </si>
  <si>
    <t xml:space="preserve">4.1.1.98</t>
  </si>
  <si>
    <t xml:space="preserve">3-octaprenyl-4-hydroxybenzoate</t>
  </si>
  <si>
    <t xml:space="preserve">CO2 + 2-polyprenylphenol</t>
  </si>
  <si>
    <t xml:space="preserve">prenyl-FMN; Mn2+</t>
  </si>
  <si>
    <t xml:space="preserve">P0AAB4 </t>
  </si>
  <si>
    <t xml:space="preserve">MDAMKYNDLRDFLTLLEQQGELKRITLPVDPHLEITEIADRTLRAGGPALLFENPKGYSMPVLCNLFGTPKRVAMGMGQEDVSALREVGKLLAFLKEPEPPKGFRDLFDKLPQFKQVLNMPTKRLRGAPCQQKIVSGDDVDLNRIPIMTCWPEDAAPLITWGLTVTRGPHKERQNLGIYRQQLIGKNKLIMRWLSHRGGALDYQEWCAAHPGERFPVSVALGADPATILGAVTPVPDTLSEYAFAGLLRGTKTEVVKCISNDLEVPASAEIVLEGYIEQGETAPEGPYGDHTGYYNEVDSFPVFTVTHITQREDAIYHSTYTGRPPDEPAVLGVALNEVFVPILQKQFPEIVDFYLPPEGCSYRLAVVTIKKQYAGHAKRVMMGVWSFLRQFMYTKFVIVCDDDVNARDWNDVIWAITTRMDPARDTVLVENTPIDYLDFASPVSGLGSKMGLDATNKWPGETQREWGRPIKKDPDVVAHIDAIWDELAIFNNGKSA</t>
  </si>
  <si>
    <t xml:space="preserve">Ubiquinone and other terpenoid-quinone biosynthesis</t>
  </si>
  <si>
    <t xml:space="preserve">Information on EC 4.1.1.98 - 4-hydroxy-3-polyprenylbenzoate decarboxylase - BRENDA Enzyme Database (brenda-enzymes.org)</t>
  </si>
  <si>
    <t xml:space="preserve">PF20695</t>
  </si>
  <si>
    <t xml:space="preserve">3-octaprenyl-4-hydroxybenzoate carboxy-lyase N-terminal domain</t>
  </si>
  <si>
    <t xml:space="preserve">UbiD_N</t>
  </si>
  <si>
    <t xml:space="preserve">PF01177</t>
  </si>
  <si>
    <t xml:space="preserve">Asp/Glu/Hydantoin racemase</t>
  </si>
  <si>
    <t xml:space="preserve">Asp_Glu_race</t>
  </si>
  <si>
    <t xml:space="preserve">Family that contains E:4.1.1.76; arylmalonate decarboxylase</t>
  </si>
  <si>
    <t xml:space="preserve">P22634</t>
  </si>
  <si>
    <t xml:space="preserve">
Escherichia coli (strain K12)</t>
  </si>
  <si>
    <t xml:space="preserve">MATKLQDGNTPCLAATPSEPRPTVLVFDSGVGGLSVYDEIRHLLPDLHYIYAFDNVAFPYGEKSEAFIVERVVAIVTAVQERYPLALAVVACNTASTVSLPALREKFDFPVVGVVPAIKPAARLTANGIVGLLATRGTVKRSYTHELIARFANECQIEMLGSAEMVELAEAKLHGEDVSLDALKRILRPWLRMKEPPDTVVLGCTHFPLLQEELLQVLPEGTRLVDSGAAIARRTAWLLEHEAPDAKSADANIAFCMAMTPGAEQLLPVLQRYGFETLEKLAVLG</t>
  </si>
  <si>
    <t xml:space="preserve">PS00923
PS00924</t>
  </si>
  <si>
    <r>
      <rPr>
        <sz val="11"/>
        <color theme="1"/>
        <rFont val="Aptos Narrow"/>
        <family val="2"/>
        <charset val="1"/>
      </rPr>
      <t xml:space="preserve"> </t>
    </r>
    <r>
      <rPr>
        <b val="true"/>
        <sz val="12"/>
        <color rgb="FF000000"/>
        <rFont val="Arial"/>
        <family val="2"/>
        <charset val="1"/>
      </rPr>
      <t xml:space="preserve">ASP_GLU_RACEMASE_1</t>
    </r>
    <r>
      <rPr>
        <sz val="12"/>
        <color rgb="FF000000"/>
        <rFont val="Arial"/>
        <family val="2"/>
        <charset val="1"/>
      </rPr>
      <t xml:space="preserve">   </t>
    </r>
    <r>
      <rPr>
        <i val="true"/>
        <sz val="12"/>
        <color rgb="FF000000"/>
        <rFont val="Arial"/>
        <family val="2"/>
        <charset val="1"/>
      </rPr>
      <t xml:space="preserve">Aspartate and glutamate racemases signature 1
</t>
    </r>
    <r>
      <rPr>
        <sz val="12"/>
        <color rgb="FF000000"/>
        <rFont val="Arial"/>
        <family val="2"/>
        <charset val="1"/>
      </rPr>
      <t xml:space="preserve">ASP_GLU_RACEMASE_2   Aspartate and glutamate racemases signature 2</t>
    </r>
  </si>
  <si>
    <t xml:space="preserve">PF09662</t>
  </si>
  <si>
    <t xml:space="preserve">Phenylphosphate carboxylase gamma subunit </t>
  </si>
  <si>
    <t xml:space="preserve">Phenyl_P_gamma</t>
  </si>
  <si>
    <t xml:space="preserve">Predicted, </t>
  </si>
  <si>
    <t xml:space="preserve">A0A7C1FQU3 (predicted)</t>
  </si>
  <si>
    <t xml:space="preserve">Deltaproteobacteria bacterium</t>
  </si>
  <si>
    <t xml:space="preserve">MAEYDTFINKNFEDLKDEEEIVGVIRDLSPGKKKYKCLCAKFIVSKDPNKYPDRLWIRLGRGQLVKDHPCSVKILEILKPY</t>
  </si>
  <si>
    <t xml:space="preserve">internal repeat (4x)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</si>
</sst>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61D39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b val="true"/>
      <sz val="11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i val="true"/>
      <sz val="11"/>
      <color rgb="FF000000"/>
      <name val="Arial"/>
      <family val="2"/>
      <charset val="1"/>
    </font>
    <font>
      <sz val="13.5"/>
      <color rgb="FF161D39"/>
      <name val="Arial"/>
      <family val="2"/>
      <charset val="1"/>
    </font>
    <font>
      <sz val="11"/>
      <color rgb="FF000000"/>
      <name val="Aptos Narrow"/>
      <family val="2"/>
      <charset val="1"/>
    </font>
    <font>
      <sz val="11"/>
      <color rgb="FF0A0A0A"/>
      <name val="Arial"/>
      <family val="2"/>
      <charset val="1"/>
    </font>
    <font>
      <sz val="10"/>
      <color theme="1"/>
      <name val="Aptos Narrow"/>
      <family val="2"/>
      <charset val="1"/>
    </font>
    <font>
      <sz val="12"/>
      <color rgb="FF2E2E2E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24"/>
      <color rgb="FF161D39"/>
      <name val="Source Sans Pro"/>
      <family val="2"/>
      <charset val="1"/>
    </font>
    <font>
      <sz val="11"/>
      <color rgb="FFFF000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D4DDD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67886"/>
          <bgColor rgb="FF000000"/>
        </patternFill>
      </fill>
    </dxf>
    <dxf>
      <fill>
        <patternFill patternType="solid">
          <fgColor rgb="FF0A0A0A"/>
          <bgColor rgb="FF000000"/>
        </patternFill>
      </fill>
    </dxf>
    <dxf>
      <fill>
        <patternFill patternType="solid">
          <fgColor rgb="FF161D3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4DD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161D39"/>
      <rgbColor rgb="FF339966"/>
      <rgbColor rgb="FF0A0A0A"/>
      <rgbColor rgb="FF333300"/>
      <rgbColor rgb="FF993300"/>
      <rgbColor rgb="FF993366"/>
      <rgbColor rgb="FF333399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rosite.expasy.org/cgi-bin/prosite/nicedoc.pl?PS00157" TargetMode="External"/><Relationship Id="rId2" Type="http://schemas.openxmlformats.org/officeDocument/2006/relationships/hyperlink" Target="https://www.brenda-enzymes.org/enzyme.php?ecno=4.1.1.39" TargetMode="External"/><Relationship Id="rId3" Type="http://schemas.openxmlformats.org/officeDocument/2006/relationships/hyperlink" Target="https://www.kegg.jp/entry/map00061" TargetMode="External"/><Relationship Id="rId4" Type="http://schemas.openxmlformats.org/officeDocument/2006/relationships/hyperlink" Target="https://www.brenda-enzymes.org/enzyme.php?ecno=4.1.1.39" TargetMode="External"/><Relationship Id="rId5" Type="http://schemas.openxmlformats.org/officeDocument/2006/relationships/hyperlink" Target="https://www.ebi.ac.uk/interpro/entry/pfam/PF00289/" TargetMode="External"/><Relationship Id="rId6" Type="http://schemas.openxmlformats.org/officeDocument/2006/relationships/hyperlink" Target="https://www.uniprot.org/taxonomy/9606" TargetMode="External"/><Relationship Id="rId7" Type="http://schemas.openxmlformats.org/officeDocument/2006/relationships/hyperlink" Target="https://www.kegg.jp/entry/map00061" TargetMode="External"/><Relationship Id="rId8" Type="http://schemas.openxmlformats.org/officeDocument/2006/relationships/hyperlink" Target="https://www.brenda-enzymes.org/enzyme.php?ecno=6.3.4.14" TargetMode="External"/><Relationship Id="rId9" Type="http://schemas.openxmlformats.org/officeDocument/2006/relationships/hyperlink" Target="https://www.ebi.ac.uk/interpro/entry/pfam/PF00311/" TargetMode="External"/><Relationship Id="rId10" Type="http://schemas.openxmlformats.org/officeDocument/2006/relationships/hyperlink" Target="https://www.ebi.ac.uk/interpro/entry/pfam/PF00311/" TargetMode="External"/><Relationship Id="rId11" Type="http://schemas.openxmlformats.org/officeDocument/2006/relationships/hyperlink" Target="https://www.uniprot.org/taxonomy/4227" TargetMode="External"/><Relationship Id="rId12" Type="http://schemas.openxmlformats.org/officeDocument/2006/relationships/hyperlink" Target="https://www.kegg.jp/entry/map00061" TargetMode="External"/><Relationship Id="rId13" Type="http://schemas.openxmlformats.org/officeDocument/2006/relationships/hyperlink" Target="https://www.brenda-enzymes.org/enzyme.php?ecno=6.3.4.14" TargetMode="External"/><Relationship Id="rId14" Type="http://schemas.openxmlformats.org/officeDocument/2006/relationships/hyperlink" Target="https://www.ebi.ac.uk/interpro/entry/pfam/PF02329/" TargetMode="External"/><Relationship Id="rId15" Type="http://schemas.openxmlformats.org/officeDocument/2006/relationships/hyperlink" Target="https://www.uniprot.org/taxonomy/1593" TargetMode="External"/><Relationship Id="rId16" Type="http://schemas.openxmlformats.org/officeDocument/2006/relationships/hyperlink" Target="https://www.kegg.jp/entry/map00061" TargetMode="External"/><Relationship Id="rId17" Type="http://schemas.openxmlformats.org/officeDocument/2006/relationships/hyperlink" Target="https://www.brenda-enzymes.org/enzyme.php?ecno=4.1.1.22" TargetMode="External"/><Relationship Id="rId18" Type="http://schemas.openxmlformats.org/officeDocument/2006/relationships/hyperlink" Target="https://prosite.expasy.org/cgi-bin/prosite/nicedoc.pl?PS00157" TargetMode="External"/><Relationship Id="rId19" Type="http://schemas.openxmlformats.org/officeDocument/2006/relationships/hyperlink" Target="https://www.brenda-enzymes.org/enzyme.php?ecno=4.1.1.39" TargetMode="External"/><Relationship Id="rId20" Type="http://schemas.openxmlformats.org/officeDocument/2006/relationships/hyperlink" Target="https://www.ebi.ac.uk/interpro/entry/pfam/PF02436/" TargetMode="External"/><Relationship Id="rId21" Type="http://schemas.openxmlformats.org/officeDocument/2006/relationships/hyperlink" Target="https://www.uniprot.org/taxonomy/9606" TargetMode="External"/><Relationship Id="rId22" Type="http://schemas.openxmlformats.org/officeDocument/2006/relationships/hyperlink" Target="https://prosite.expasy.org/cgi-bin/prosite/nicedoc.pl?PS00188" TargetMode="External"/><Relationship Id="rId23" Type="http://schemas.openxmlformats.org/officeDocument/2006/relationships/hyperlink" Target="https://www.kegg.jp/entry/map00020" TargetMode="External"/><Relationship Id="rId24" Type="http://schemas.openxmlformats.org/officeDocument/2006/relationships/hyperlink" Target="https://www.brenda-enzymes.org/enzyme.php?ecno=6.4.1.1" TargetMode="External"/><Relationship Id="rId25" Type="http://schemas.openxmlformats.org/officeDocument/2006/relationships/hyperlink" Target="https://www.enzyme-database.org/query.php?ec=6.3.4.6" TargetMode="External"/><Relationship Id="rId26" Type="http://schemas.openxmlformats.org/officeDocument/2006/relationships/hyperlink" Target="https://www.uniprot.org/taxonomy/227321" TargetMode="External"/><Relationship Id="rId27" Type="http://schemas.openxmlformats.org/officeDocument/2006/relationships/hyperlink" Target="https://www.kegg.jp/pathway/map00230" TargetMode="External"/><Relationship Id="rId28" Type="http://schemas.openxmlformats.org/officeDocument/2006/relationships/hyperlink" Target="https://www.brenda-enzymes.org/enzyme.php?ecno=6.3.4.6" TargetMode="External"/><Relationship Id="rId29" Type="http://schemas.openxmlformats.org/officeDocument/2006/relationships/hyperlink" Target="https://www.enzyme-database.org/query.php?ec=6.3.4.6" TargetMode="External"/><Relationship Id="rId30" Type="http://schemas.openxmlformats.org/officeDocument/2006/relationships/hyperlink" Target="https://www.uniprot.org/taxonomy/224308" TargetMode="External"/><Relationship Id="rId31" Type="http://schemas.openxmlformats.org/officeDocument/2006/relationships/hyperlink" Target="https://www.kegg.jp/pathway/map00230" TargetMode="External"/><Relationship Id="rId32" Type="http://schemas.openxmlformats.org/officeDocument/2006/relationships/hyperlink" Target="https://www.brenda-enzymes.org/enzyme.php?ecno=6.3.4.6" TargetMode="External"/><Relationship Id="rId33" Type="http://schemas.openxmlformats.org/officeDocument/2006/relationships/hyperlink" Target="https://www.ebi.ac.uk/interpro/entry/pfam/PF02785/" TargetMode="External"/><Relationship Id="rId34" Type="http://schemas.openxmlformats.org/officeDocument/2006/relationships/hyperlink" Target="https://www.uniprot.org/taxonomy/9606" TargetMode="External"/><Relationship Id="rId35" Type="http://schemas.openxmlformats.org/officeDocument/2006/relationships/hyperlink" Target="https://www.kegg.jp/pathway/map00780" TargetMode="External"/><Relationship Id="rId36" Type="http://schemas.openxmlformats.org/officeDocument/2006/relationships/hyperlink" Target="https://www.brenda-enzymes.org/enzyme.php?ecno=6.3.4.14" TargetMode="External"/><Relationship Id="rId37" Type="http://schemas.openxmlformats.org/officeDocument/2006/relationships/hyperlink" Target="https://prosite.expasy.org/cgi-bin/prosite/nicedoc.pl?PS00157" TargetMode="External"/><Relationship Id="rId38" Type="http://schemas.openxmlformats.org/officeDocument/2006/relationships/hyperlink" Target="https://www.brenda-enzymes.org/enzyme.php?ecno=4.1.1.39" TargetMode="External"/><Relationship Id="rId39" Type="http://schemas.openxmlformats.org/officeDocument/2006/relationships/hyperlink" Target="https://www.ebi.ac.uk/interpro/entry/pfam/PF03255/" TargetMode="External"/><Relationship Id="rId40" Type="http://schemas.openxmlformats.org/officeDocument/2006/relationships/hyperlink" Target="https://www.uniprot.org/taxonomy/83333" TargetMode="External"/><Relationship Id="rId41" Type="http://schemas.openxmlformats.org/officeDocument/2006/relationships/hyperlink" Target="https://prosite.expasy.org/cgi-bin/prosite/nicedoc.pl?PS50989" TargetMode="External"/><Relationship Id="rId42" Type="http://schemas.openxmlformats.org/officeDocument/2006/relationships/hyperlink" Target="https://www.kegg.jp/entry/map00061" TargetMode="External"/><Relationship Id="rId43" Type="http://schemas.openxmlformats.org/officeDocument/2006/relationships/hyperlink" Target="https://www.brenda-enzymes.org/enzyme.php?ecno=6.4.1.2" TargetMode="External"/><Relationship Id="rId44" Type="http://schemas.openxmlformats.org/officeDocument/2006/relationships/hyperlink" Target="https://www.ebi.ac.uk/interpro/entry/pfam/PF05090/" TargetMode="External"/><Relationship Id="rId45" Type="http://schemas.openxmlformats.org/officeDocument/2006/relationships/hyperlink" Target="https://www.uniprot.org/taxonomy/9606" TargetMode="External"/><Relationship Id="rId46" Type="http://schemas.openxmlformats.org/officeDocument/2006/relationships/hyperlink" Target="https://www.kegg.jp/entry/map00130" TargetMode="External"/><Relationship Id="rId47" Type="http://schemas.openxmlformats.org/officeDocument/2006/relationships/hyperlink" Target="https://www.brenda-enzymes.org/enzyme.php?ecno=4.1.1.90" TargetMode="External"/><Relationship Id="rId48" Type="http://schemas.openxmlformats.org/officeDocument/2006/relationships/hyperlink" Target="https://www.ebi.ac.uk/interpro/entry/pfam/PF08326/" TargetMode="External"/><Relationship Id="rId49" Type="http://schemas.openxmlformats.org/officeDocument/2006/relationships/hyperlink" Target="https://www.uniprot.org/taxonomy/9606" TargetMode="External"/><Relationship Id="rId50" Type="http://schemas.openxmlformats.org/officeDocument/2006/relationships/hyperlink" Target="https://prosite.expasy.org/cgi-bin/prosite/nicedoc.pl?PS50979" TargetMode="External"/><Relationship Id="rId51" Type="http://schemas.openxmlformats.org/officeDocument/2006/relationships/hyperlink" Target="https://www.brenda-enzymes.org/enzyme.php?ecno=6.4.1.2" TargetMode="External"/><Relationship Id="rId52" Type="http://schemas.openxmlformats.org/officeDocument/2006/relationships/hyperlink" Target="https://www.ebi.ac.uk/interpro/entry/pfam/PF08882/" TargetMode="External"/><Relationship Id="rId53" Type="http://schemas.openxmlformats.org/officeDocument/2006/relationships/hyperlink" Target="https://www.uniprot.org/taxonomy/78245" TargetMode="External"/><Relationship Id="rId54" Type="http://schemas.openxmlformats.org/officeDocument/2006/relationships/hyperlink" Target="https://www.kegg.jp/pathway/map00642" TargetMode="External"/><Relationship Id="rId55" Type="http://schemas.openxmlformats.org/officeDocument/2006/relationships/hyperlink" Target="https://prosite.expasy.org/cgi-bin/prosite/nicedoc.pl?PS50280" TargetMode="External"/><Relationship Id="rId56" Type="http://schemas.openxmlformats.org/officeDocument/2006/relationships/hyperlink" Target="https://www.kegg.jp/entry/map00710" TargetMode="External"/><Relationship Id="rId57" Type="http://schemas.openxmlformats.org/officeDocument/2006/relationships/hyperlink" Target="https://www.brenda-enzymes.org/enzyme.php?ecno=4.1.1.39" TargetMode="External"/><Relationship Id="rId58" Type="http://schemas.openxmlformats.org/officeDocument/2006/relationships/hyperlink" Target="https://www.kegg.jp/entry/map00710" TargetMode="External"/><Relationship Id="rId59" Type="http://schemas.openxmlformats.org/officeDocument/2006/relationships/hyperlink" Target="https://www.brenda-enzymes.org/enzyme.php?ecno=4.1.1.39" TargetMode="External"/><Relationship Id="rId60" Type="http://schemas.openxmlformats.org/officeDocument/2006/relationships/hyperlink" Target="https://www.ebi.ac.uk/interpro/entry/pfam/PF13822/" TargetMode="External"/><Relationship Id="rId61" Type="http://schemas.openxmlformats.org/officeDocument/2006/relationships/hyperlink" Target="https://www.uniprot.org/taxonomy/83332" TargetMode="External"/><Relationship Id="rId62" Type="http://schemas.openxmlformats.org/officeDocument/2006/relationships/hyperlink" Target="https://www.kegg.jp/entry/map00710" TargetMode="External"/><Relationship Id="rId63" Type="http://schemas.openxmlformats.org/officeDocument/2006/relationships/hyperlink" Target="https://www.brenda-enzymes.org/enzyme.php?ecno=6.4.1.2" TargetMode="External"/><Relationship Id="rId64" Type="http://schemas.openxmlformats.org/officeDocument/2006/relationships/hyperlink" Target="https://www.ebi.ac.uk/interpro/entry/pfam/PF14010/" TargetMode="External"/><Relationship Id="rId65" Type="http://schemas.openxmlformats.org/officeDocument/2006/relationships/hyperlink" Target="https://www.uniprot.org/taxonomy/187420" TargetMode="External"/><Relationship Id="rId66" Type="http://schemas.openxmlformats.org/officeDocument/2006/relationships/hyperlink" Target="https://www.kegg.jp/entry/map00710" TargetMode="External"/><Relationship Id="rId67" Type="http://schemas.openxmlformats.org/officeDocument/2006/relationships/hyperlink" Target="https://www.brenda-enzymes.org/enzyme.php?ecno=6.3.4.14" TargetMode="External"/><Relationship Id="rId68" Type="http://schemas.openxmlformats.org/officeDocument/2006/relationships/hyperlink" Target="https://www.ebi.ac.uk/interpro/entry/pfam/PF17848/" TargetMode="External"/><Relationship Id="rId69" Type="http://schemas.openxmlformats.org/officeDocument/2006/relationships/hyperlink" Target="https://www.uniprot.org/taxonomy/83333" TargetMode="External"/><Relationship Id="rId70" Type="http://schemas.openxmlformats.org/officeDocument/2006/relationships/hyperlink" Target="https://www.kegg.jp/entry/map00710" TargetMode="External"/><Relationship Id="rId71" Type="http://schemas.openxmlformats.org/officeDocument/2006/relationships/hyperlink" Target="https://www.brenda-enzymes.org/enzyme.php?ecno=6.4.1.2" TargetMode="External"/><Relationship Id="rId72" Type="http://schemas.openxmlformats.org/officeDocument/2006/relationships/hyperlink" Target="https://www.kegg.jp/entry/map00710" TargetMode="External"/><Relationship Id="rId73" Type="http://schemas.openxmlformats.org/officeDocument/2006/relationships/hyperlink" Target="https://www.brenda-enzymes.org/enzyme.php?ecno=4.1.1.39" TargetMode="External"/><Relationship Id="rId74" Type="http://schemas.openxmlformats.org/officeDocument/2006/relationships/hyperlink" Target="https://www.ebi.ac.uk/interpro/entry/pfam/PF18140/" TargetMode="External"/><Relationship Id="rId75" Type="http://schemas.openxmlformats.org/officeDocument/2006/relationships/hyperlink" Target="https://www.uniprot.org/taxonomy/9606" TargetMode="External"/><Relationship Id="rId76" Type="http://schemas.openxmlformats.org/officeDocument/2006/relationships/hyperlink" Target="https://www.kegg.jp/entry/map00710" TargetMode="External"/><Relationship Id="rId77" Type="http://schemas.openxmlformats.org/officeDocument/2006/relationships/hyperlink" Target="https://www.brenda-enzymes.org/enzyme.php?ecno=6.4.1.3" TargetMode="External"/><Relationship Id="rId78" Type="http://schemas.openxmlformats.org/officeDocument/2006/relationships/hyperlink" Target="https://www.kegg.jp/entry/map00710" TargetMode="External"/><Relationship Id="rId79" Type="http://schemas.openxmlformats.org/officeDocument/2006/relationships/hyperlink" Target="https://www.brenda-enzymes.org/enzyme.php?ecno=4.1.1.39" TargetMode="External"/><Relationship Id="rId80" Type="http://schemas.openxmlformats.org/officeDocument/2006/relationships/hyperlink" Target="https://prosite.expasy.org/cgi-bin/prosite/nicedoc.pl?PS00012" TargetMode="External"/><Relationship Id="rId81" Type="http://schemas.openxmlformats.org/officeDocument/2006/relationships/hyperlink" Target="https://www.kegg.jp/entry/map00710" TargetMode="External"/><Relationship Id="rId82" Type="http://schemas.openxmlformats.org/officeDocument/2006/relationships/hyperlink" Target="https://www.brenda-enzymes.org/enzyme.php?ecno=4.1.1.39" TargetMode="External"/><Relationship Id="rId83" Type="http://schemas.openxmlformats.org/officeDocument/2006/relationships/hyperlink" Target="https://www.ebi.ac.uk/interpro/entry/pfam/PF19331/" TargetMode="External"/><Relationship Id="rId84" Type="http://schemas.openxmlformats.org/officeDocument/2006/relationships/hyperlink" Target="https://www.uniprot.org/taxonomy/3847" TargetMode="External"/><Relationship Id="rId85" Type="http://schemas.openxmlformats.org/officeDocument/2006/relationships/hyperlink" Target="https://www.kegg.jp/entry/map00710" TargetMode="External"/><Relationship Id="rId86" Type="http://schemas.openxmlformats.org/officeDocument/2006/relationships/hyperlink" Target="https://www.brenda-enzymes.org/enzyme.php?ecno=6.4.1.3" TargetMode="External"/><Relationship Id="rId87" Type="http://schemas.openxmlformats.org/officeDocument/2006/relationships/hyperlink" Target="https://www.uniprot.org/taxonomy/1799" TargetMode="External"/><Relationship Id="rId88" Type="http://schemas.openxmlformats.org/officeDocument/2006/relationships/hyperlink" Target="https://www.brenda-enzymes.org/enzyme.php?ecno=6.4.1.3" TargetMode="External"/><Relationship Id="rId89" Type="http://schemas.openxmlformats.org/officeDocument/2006/relationships/hyperlink" Target="https://www.uniprot.org/taxonomy/39947" TargetMode="External"/><Relationship Id="rId90" Type="http://schemas.openxmlformats.org/officeDocument/2006/relationships/hyperlink" Target="https://www.brenda-enzymes.org/enzyme.php?ecno=4.1.1.39" TargetMode="External"/><Relationship Id="rId91" Type="http://schemas.openxmlformats.org/officeDocument/2006/relationships/hyperlink" Target="https://www.ebi.ac.uk/interpro/entry/pfam/PF21385/" TargetMode="External"/><Relationship Id="rId92" Type="http://schemas.openxmlformats.org/officeDocument/2006/relationships/hyperlink" Target="https://www.uniprot.org/taxonomy/9606" TargetMode="External"/><Relationship Id="rId93" Type="http://schemas.openxmlformats.org/officeDocument/2006/relationships/hyperlink" Target="https://prosite.expasy.org/cgi-bin/prosite/nicedoc.pl?PS50979" TargetMode="External"/><Relationship Id="rId94" Type="http://schemas.openxmlformats.org/officeDocument/2006/relationships/hyperlink" Target="https://www.brenda-enzymes.org/enzyme.php?ecno=6.4.1.2" TargetMode="External"/><Relationship Id="rId95" Type="http://schemas.openxmlformats.org/officeDocument/2006/relationships/hyperlink" Target="https://www.ebi.ac.uk/interpro/entry/pfam/PF02261/" TargetMode="External"/><Relationship Id="rId96" Type="http://schemas.openxmlformats.org/officeDocument/2006/relationships/hyperlink" Target="https://www.ebi.ac.uk/interpro/entry/pfam/PF02261/" TargetMode="External"/><Relationship Id="rId97" Type="http://schemas.openxmlformats.org/officeDocument/2006/relationships/hyperlink" Target="https://www.uniprot.org/taxonomy/83333" TargetMode="External"/><Relationship Id="rId98" Type="http://schemas.openxmlformats.org/officeDocument/2006/relationships/hyperlink" Target="https://www.genome.jp/pathway/map00250+4.1.1.12" TargetMode="External"/><Relationship Id="rId99" Type="http://schemas.openxmlformats.org/officeDocument/2006/relationships/hyperlink" Target="https://www.brenda-enzymes.org/enzyme.php?ecno=4.1.1.11" TargetMode="External"/><Relationship Id="rId100" Type="http://schemas.openxmlformats.org/officeDocument/2006/relationships/hyperlink" Target="https://www.ebi.ac.uk/interpro/entry/pfam/PF05870/" TargetMode="External"/><Relationship Id="rId101" Type="http://schemas.openxmlformats.org/officeDocument/2006/relationships/hyperlink" Target="https://www.ebi.ac.uk/interpro/entry/pfam/PF05870/" TargetMode="External"/><Relationship Id="rId102" Type="http://schemas.openxmlformats.org/officeDocument/2006/relationships/hyperlink" Target="https://www.uniprot.org/taxonomy/224308" TargetMode="External"/><Relationship Id="rId103" Type="http://schemas.openxmlformats.org/officeDocument/2006/relationships/hyperlink" Target="https://www.brenda-enzymes.org/enzyme.php?ecno=4.1.1.102" TargetMode="External"/><Relationship Id="rId104" Type="http://schemas.openxmlformats.org/officeDocument/2006/relationships/hyperlink" Target="https://www.ebi.ac.uk/interpro/entry/pfam/PF05292/" TargetMode="External"/><Relationship Id="rId105" Type="http://schemas.openxmlformats.org/officeDocument/2006/relationships/hyperlink" Target="https://www.ebi.ac.uk/interpro/entry/pfam/PF05292/" TargetMode="External"/><Relationship Id="rId106" Type="http://schemas.openxmlformats.org/officeDocument/2006/relationships/hyperlink" Target="https://www.uniprot.org/taxonomy/9606" TargetMode="External"/><Relationship Id="rId107" Type="http://schemas.openxmlformats.org/officeDocument/2006/relationships/hyperlink" Target="https://www.kegg.jp/entry/map00410" TargetMode="External"/><Relationship Id="rId108" Type="http://schemas.openxmlformats.org/officeDocument/2006/relationships/hyperlink" Target="https://www.brenda-enzymes.org/enzyme.php?ecno=4.1.1.9" TargetMode="External"/><Relationship Id="rId109" Type="http://schemas.openxmlformats.org/officeDocument/2006/relationships/hyperlink" Target="https://www.ebi.ac.uk/interpro/entry/pfam/PF17408/" TargetMode="External"/><Relationship Id="rId110" Type="http://schemas.openxmlformats.org/officeDocument/2006/relationships/hyperlink" Target="https://www.ebi.ac.uk/interpro/entry/pfam/PF17408/" TargetMode="External"/><Relationship Id="rId111" Type="http://schemas.openxmlformats.org/officeDocument/2006/relationships/hyperlink" Target="https://www.uniprot.org/taxonomy/9606" TargetMode="External"/><Relationship Id="rId112" Type="http://schemas.openxmlformats.org/officeDocument/2006/relationships/hyperlink" Target="https://www.kegg.jp/entry/map00410" TargetMode="External"/><Relationship Id="rId113" Type="http://schemas.openxmlformats.org/officeDocument/2006/relationships/hyperlink" Target="https://www.brenda-enzymes.org/enzyme.php?ecno=4.1.1.9" TargetMode="External"/><Relationship Id="rId114" Type="http://schemas.openxmlformats.org/officeDocument/2006/relationships/hyperlink" Target="https://www.ebi.ac.uk/interpro/entry/pfam/PF01276/" TargetMode="External"/><Relationship Id="rId115" Type="http://schemas.openxmlformats.org/officeDocument/2006/relationships/hyperlink" Target="https://www.ebi.ac.uk/interpro/entry/pfam/PF01276/" TargetMode="External"/><Relationship Id="rId116" Type="http://schemas.openxmlformats.org/officeDocument/2006/relationships/hyperlink" Target="https://www.uniprot.org/taxonomy/83333" TargetMode="External"/><Relationship Id="rId117" Type="http://schemas.openxmlformats.org/officeDocument/2006/relationships/hyperlink" Target="https://prosite.expasy.org/cgi-bin/prosite/nicedoc.pl?PS00703" TargetMode="External"/><Relationship Id="rId118" Type="http://schemas.openxmlformats.org/officeDocument/2006/relationships/hyperlink" Target="https://www.kegg.jp/pathway/map00470" TargetMode="External"/><Relationship Id="rId119" Type="http://schemas.openxmlformats.org/officeDocument/2006/relationships/hyperlink" Target="https://www.brenda-enzymes.org/enzyme.php?ecno=4.1.1.116" TargetMode="External"/><Relationship Id="rId120" Type="http://schemas.openxmlformats.org/officeDocument/2006/relationships/hyperlink" Target="https://www.ebi.ac.uk/interpro/entry/pfam/PF03711/" TargetMode="External"/><Relationship Id="rId121" Type="http://schemas.openxmlformats.org/officeDocument/2006/relationships/hyperlink" Target="https://www.ebi.ac.uk/interpro/entry/pfam/PF03711/" TargetMode="External"/><Relationship Id="rId122" Type="http://schemas.openxmlformats.org/officeDocument/2006/relationships/hyperlink" Target="https://www.uniprot.org/taxonomy/83333" TargetMode="External"/><Relationship Id="rId123" Type="http://schemas.openxmlformats.org/officeDocument/2006/relationships/hyperlink" Target="https://prosite.expasy.org/cgi-bin/prosite/nicedoc.pl?PS00703" TargetMode="External"/><Relationship Id="rId124" Type="http://schemas.openxmlformats.org/officeDocument/2006/relationships/hyperlink" Target="https://www.brenda-enzymes.org/enzyme.php?ecno=4.1.1.19" TargetMode="External"/><Relationship Id="rId125" Type="http://schemas.openxmlformats.org/officeDocument/2006/relationships/hyperlink" Target="https://www.ebi.ac.uk/interpro/entry/pfam/PF18376/" TargetMode="External"/><Relationship Id="rId126" Type="http://schemas.openxmlformats.org/officeDocument/2006/relationships/hyperlink" Target="https://www.genome.jp/pathway/map00900+M00095" TargetMode="External"/><Relationship Id="rId127" Type="http://schemas.openxmlformats.org/officeDocument/2006/relationships/hyperlink" Target="https://www.brenda-enzymes.org/enzyme.php?ecno=4.1.1.33" TargetMode="External"/><Relationship Id="rId128" Type="http://schemas.openxmlformats.org/officeDocument/2006/relationships/hyperlink" Target="https://www.ebi.ac.uk/interpro/entry/pfam/PF09349/" TargetMode="External"/><Relationship Id="rId129" Type="http://schemas.openxmlformats.org/officeDocument/2006/relationships/hyperlink" Target="https://www.ebi.ac.uk/interpro/entry/pfam/PF09349/" TargetMode="External"/><Relationship Id="rId130" Type="http://schemas.openxmlformats.org/officeDocument/2006/relationships/hyperlink" Target="https://www.uniprot.org/taxonomy/39947" TargetMode="External"/><Relationship Id="rId131" Type="http://schemas.openxmlformats.org/officeDocument/2006/relationships/hyperlink" Target="https://www.kegg.jp/pathway/map00230+K13485" TargetMode="External"/><Relationship Id="rId132" Type="http://schemas.openxmlformats.org/officeDocument/2006/relationships/hyperlink" Target="https://www.brenda-enzymes.org/enzyme.php?ecno=4.1.1.97" TargetMode="External"/><Relationship Id="rId133" Type="http://schemas.openxmlformats.org/officeDocument/2006/relationships/hyperlink" Target="https://www.ebi.ac.uk/interpro/entry/pfam/PF17944/" TargetMode="External"/><Relationship Id="rId134" Type="http://schemas.openxmlformats.org/officeDocument/2006/relationships/hyperlink" Target="https://www.ebi.ac.uk/interpro/entry/pfam/PF17944/" TargetMode="External"/><Relationship Id="rId135" Type="http://schemas.openxmlformats.org/officeDocument/2006/relationships/hyperlink" Target="https://prosite.expasy.org/cgi-bin/prosite/nicedoc.pl?PS00878" TargetMode="External"/><Relationship Id="rId136" Type="http://schemas.openxmlformats.org/officeDocument/2006/relationships/hyperlink" Target="https://www.kegg.jp/pathway/map00330" TargetMode="External"/><Relationship Id="rId137" Type="http://schemas.openxmlformats.org/officeDocument/2006/relationships/hyperlink" Target="https://www.brenda-enzymes.org/enzyme.php?ecno=4.1.1.19" TargetMode="External"/><Relationship Id="rId138" Type="http://schemas.openxmlformats.org/officeDocument/2006/relationships/hyperlink" Target="https://prosite.expasy.org/cgi-bin/prosite/nicedoc.pl?PS00879" TargetMode="External"/><Relationship Id="rId139" Type="http://schemas.openxmlformats.org/officeDocument/2006/relationships/hyperlink" Target="https://www.brenda-enzymes.org/enzyme.php?ecno=4.1.1.116" TargetMode="External"/><Relationship Id="rId140" Type="http://schemas.openxmlformats.org/officeDocument/2006/relationships/hyperlink" Target="https://www.ebi.ac.uk/interpro/entry/pfam/PF21391/" TargetMode="External"/><Relationship Id="rId141" Type="http://schemas.openxmlformats.org/officeDocument/2006/relationships/hyperlink" Target="https://www.kegg.jp/entry/map00350" TargetMode="External"/><Relationship Id="rId142" Type="http://schemas.openxmlformats.org/officeDocument/2006/relationships/hyperlink" Target="https://www.brenda-enzymes.org/enzyme.php?ecno=4.1.1.25" TargetMode="External"/><Relationship Id="rId143" Type="http://schemas.openxmlformats.org/officeDocument/2006/relationships/hyperlink" Target="https://www.ebi.ac.uk/interpro/entry/pfam/PF00215/" TargetMode="External"/><Relationship Id="rId144" Type="http://schemas.openxmlformats.org/officeDocument/2006/relationships/hyperlink" Target="https://www.ebi.ac.uk/interpro/entry/pfam/PF00215/" TargetMode="External"/><Relationship Id="rId145" Type="http://schemas.openxmlformats.org/officeDocument/2006/relationships/hyperlink" Target="https://www.kegg.jp/entry/map00240" TargetMode="External"/><Relationship Id="rId146" Type="http://schemas.openxmlformats.org/officeDocument/2006/relationships/hyperlink" Target="https://www.brenda-enzymes.org/enzyme.php?ecno=4.1.1.23" TargetMode="External"/><Relationship Id="rId147" Type="http://schemas.openxmlformats.org/officeDocument/2006/relationships/hyperlink" Target="https://www.ebi.ac.uk/interpro/entry/pfam/PF17950/" TargetMode="External"/><Relationship Id="rId148" Type="http://schemas.openxmlformats.org/officeDocument/2006/relationships/hyperlink" Target="https://www.ebi.ac.uk/interpro/entry/pfam/PF17950/" TargetMode="External"/><Relationship Id="rId149" Type="http://schemas.openxmlformats.org/officeDocument/2006/relationships/hyperlink" Target="https://prosite.expasy.org/cgi-bin/prosite/nicedoc.pl?PS51006" TargetMode="External"/><Relationship Id="rId150" Type="http://schemas.openxmlformats.org/officeDocument/2006/relationships/hyperlink" Target="https://prosite.expasy.org/cgi-bin/prosite/nicedoc.pl?PS01330" TargetMode="External"/><Relationship Id="rId151" Type="http://schemas.openxmlformats.org/officeDocument/2006/relationships/hyperlink" Target="https://www.kegg.jp/entry/map00270" TargetMode="External"/><Relationship Id="rId152" Type="http://schemas.openxmlformats.org/officeDocument/2006/relationships/hyperlink" Target="https://www.brenda-enzymes.org/enzyme.php?ecno=4.1.1.50" TargetMode="External"/><Relationship Id="rId153" Type="http://schemas.openxmlformats.org/officeDocument/2006/relationships/hyperlink" Target="https://www.ebi.ac.uk/interpro/entry/pfam/PF06314/" TargetMode="External"/><Relationship Id="rId154" Type="http://schemas.openxmlformats.org/officeDocument/2006/relationships/hyperlink" Target="https://www.ebi.ac.uk/interpro/entry/pfam/PF06314/" TargetMode="External"/><Relationship Id="rId155" Type="http://schemas.openxmlformats.org/officeDocument/2006/relationships/hyperlink" Target="https://www.uniprot.org/taxonomy/243365" TargetMode="External"/><Relationship Id="rId156" Type="http://schemas.openxmlformats.org/officeDocument/2006/relationships/hyperlink" Target="https://www.kegg.jp/entry/map00650" TargetMode="External"/><Relationship Id="rId157" Type="http://schemas.openxmlformats.org/officeDocument/2006/relationships/hyperlink" Target="https://www.brenda-enzymes.org/enzyme.php?ecno=4.1.1.4" TargetMode="External"/><Relationship Id="rId158" Type="http://schemas.openxmlformats.org/officeDocument/2006/relationships/hyperlink" Target="https://www.ebi.ac.uk/interpro/entry/pfam/PF17528/" TargetMode="External"/><Relationship Id="rId159" Type="http://schemas.openxmlformats.org/officeDocument/2006/relationships/hyperlink" Target="https://www.ebi.ac.uk/interpro/entry/pfam/PF17528/" TargetMode="External"/><Relationship Id="rId160" Type="http://schemas.openxmlformats.org/officeDocument/2006/relationships/hyperlink" Target="https://www.brenda-enzymes.org/enzyme.php?ecno=4.1.1.22" TargetMode="External"/><Relationship Id="rId161" Type="http://schemas.openxmlformats.org/officeDocument/2006/relationships/hyperlink" Target="https://www.ebi.ac.uk/interpro/entry/pfam/PF06833/" TargetMode="External"/><Relationship Id="rId162" Type="http://schemas.openxmlformats.org/officeDocument/2006/relationships/hyperlink" Target="https://www.ebi.ac.uk/interpro/entry/pfam/PF06833/" TargetMode="External"/><Relationship Id="rId163" Type="http://schemas.openxmlformats.org/officeDocument/2006/relationships/hyperlink" Target="https://www.brenda-enzymes.org/enzyme.php?ecno=4.1.1.9" TargetMode="External"/><Relationship Id="rId164" Type="http://schemas.openxmlformats.org/officeDocument/2006/relationships/hyperlink" Target="https://www.ebi.ac.uk/interpro/entry/pfam/PF02675/" TargetMode="External"/><Relationship Id="rId165" Type="http://schemas.openxmlformats.org/officeDocument/2006/relationships/hyperlink" Target="https://www.ebi.ac.uk/interpro/entry/pfam/PF02675/" TargetMode="External"/><Relationship Id="rId166" Type="http://schemas.openxmlformats.org/officeDocument/2006/relationships/hyperlink" Target="https://www.genome.jp/pathway/map00270+4.1.1.50" TargetMode="External"/><Relationship Id="rId167" Type="http://schemas.openxmlformats.org/officeDocument/2006/relationships/hyperlink" Target="https://www.brenda-enzymes.org/enzyme.php?ecno=4.1.1.50" TargetMode="External"/><Relationship Id="rId168" Type="http://schemas.openxmlformats.org/officeDocument/2006/relationships/hyperlink" Target="https://www.ebi.ac.uk/interpro/entry/pfam/PF02666/" TargetMode="External"/><Relationship Id="rId169" Type="http://schemas.openxmlformats.org/officeDocument/2006/relationships/hyperlink" Target="https://www.ebi.ac.uk/interpro/entry/pfam/PF02666/" TargetMode="External"/><Relationship Id="rId170" Type="http://schemas.openxmlformats.org/officeDocument/2006/relationships/hyperlink" Target="https://www.genome.jp/pathway/map00564+4.1.1.65" TargetMode="External"/><Relationship Id="rId171" Type="http://schemas.openxmlformats.org/officeDocument/2006/relationships/hyperlink" Target="https://www.brenda-enzymes.org/enzyme.php?ecno=4.1.1.65" TargetMode="External"/><Relationship Id="rId172" Type="http://schemas.openxmlformats.org/officeDocument/2006/relationships/hyperlink" Target="https://www.ebi.ac.uk/interpro/entry/pfam/PF12588/" TargetMode="External"/><Relationship Id="rId173" Type="http://schemas.openxmlformats.org/officeDocument/2006/relationships/hyperlink" Target="https://www.ebi.ac.uk/interpro/entry/pfam/PF12588/" TargetMode="External"/><Relationship Id="rId174" Type="http://schemas.openxmlformats.org/officeDocument/2006/relationships/hyperlink" Target="https://www.genome.jp/pathway/map00564+4.1.1.65" TargetMode="External"/><Relationship Id="rId175" Type="http://schemas.openxmlformats.org/officeDocument/2006/relationships/hyperlink" Target="https://www.brenda-enzymes.org/enzyme.php?ecno=4.1.1.65" TargetMode="External"/><Relationship Id="rId176" Type="http://schemas.openxmlformats.org/officeDocument/2006/relationships/hyperlink" Target="https://www.ebi.ac.uk/interpro/entry/pfam/PF01536/" TargetMode="External"/><Relationship Id="rId177" Type="http://schemas.openxmlformats.org/officeDocument/2006/relationships/hyperlink" Target="https://www.ebi.ac.uk/interpro/entry/pfam/PF01536/" TargetMode="External"/><Relationship Id="rId178" Type="http://schemas.openxmlformats.org/officeDocument/2006/relationships/hyperlink" Target="https://www.genome.jp/pathway/map00270+4.1.1.50" TargetMode="External"/><Relationship Id="rId179" Type="http://schemas.openxmlformats.org/officeDocument/2006/relationships/hyperlink" Target="https://www.brenda-enzymes.org/enzyme.php?ecno=4.1.1.50" TargetMode="External"/><Relationship Id="rId180" Type="http://schemas.openxmlformats.org/officeDocument/2006/relationships/hyperlink" Target="https://www.ebi.ac.uk/interpro/entry/pfam/PF02627/" TargetMode="External"/><Relationship Id="rId181" Type="http://schemas.openxmlformats.org/officeDocument/2006/relationships/hyperlink" Target="https://www.ebi.ac.uk/interpro/entry/pfam/PF02627/" TargetMode="External"/><Relationship Id="rId182" Type="http://schemas.openxmlformats.org/officeDocument/2006/relationships/hyperlink" Target="https://www.genome.jp/pathway/map00362+4.1.1.44" TargetMode="External"/><Relationship Id="rId183" Type="http://schemas.openxmlformats.org/officeDocument/2006/relationships/hyperlink" Target="https://www.brenda-enzymes.org/enzyme.php?ecno=4.1.1.44" TargetMode="External"/><Relationship Id="rId184" Type="http://schemas.openxmlformats.org/officeDocument/2006/relationships/hyperlink" Target="https://www.ebi.ac.uk/interpro/entry/pfam/PF06857/" TargetMode="External"/><Relationship Id="rId185" Type="http://schemas.openxmlformats.org/officeDocument/2006/relationships/hyperlink" Target="https://www.ebi.ac.uk/interpro/entry/pfam/PF06857/" TargetMode="External"/><Relationship Id="rId186" Type="http://schemas.openxmlformats.org/officeDocument/2006/relationships/hyperlink" Target="https://www.brenda-enzymes.org/enzyme.php?ecno=4.1.1.88" TargetMode="External"/><Relationship Id="rId187" Type="http://schemas.openxmlformats.org/officeDocument/2006/relationships/hyperlink" Target="https://www.ebi.ac.uk/interpro/entry/pfam/PF01862/" TargetMode="External"/><Relationship Id="rId188" Type="http://schemas.openxmlformats.org/officeDocument/2006/relationships/hyperlink" Target="https://www.ebi.ac.uk/interpro/entry/pfam/PF01862/" TargetMode="External"/><Relationship Id="rId189" Type="http://schemas.openxmlformats.org/officeDocument/2006/relationships/hyperlink" Target="https://www.kegg.jp/pathway/map00330" TargetMode="External"/><Relationship Id="rId190" Type="http://schemas.openxmlformats.org/officeDocument/2006/relationships/hyperlink" Target="https://www.brenda-enzymes.org/enzyme.php?ecno=4.1.1.19" TargetMode="External"/><Relationship Id="rId191" Type="http://schemas.openxmlformats.org/officeDocument/2006/relationships/hyperlink" Target="https://www.ebi.ac.uk/interpro/entry/pfam/PF03306/" TargetMode="External"/><Relationship Id="rId192" Type="http://schemas.openxmlformats.org/officeDocument/2006/relationships/hyperlink" Target="https://www.ebi.ac.uk/interpro/entry/pfam/PF03306/" TargetMode="External"/><Relationship Id="rId193" Type="http://schemas.openxmlformats.org/officeDocument/2006/relationships/hyperlink" Target="https://www.kegg.jp/entry/map00650" TargetMode="External"/><Relationship Id="rId194" Type="http://schemas.openxmlformats.org/officeDocument/2006/relationships/hyperlink" Target="https://www.brenda-enzymes.org/enzyme.php?ecno=4.1.1.4" TargetMode="External"/><Relationship Id="rId195" Type="http://schemas.openxmlformats.org/officeDocument/2006/relationships/hyperlink" Target="https://www.ebi.ac.uk/interpro/entry/pfam/PF01208/" TargetMode="External"/><Relationship Id="rId196" Type="http://schemas.openxmlformats.org/officeDocument/2006/relationships/hyperlink" Target="https://www.ebi.ac.uk/interpro/entry/pfam/PF01208/" TargetMode="External"/><Relationship Id="rId197" Type="http://schemas.openxmlformats.org/officeDocument/2006/relationships/hyperlink" Target="https://prosite.expasy.org/cgi-bin/prosite/nicedoc.pl?PS00906" TargetMode="External"/><Relationship Id="rId198" Type="http://schemas.openxmlformats.org/officeDocument/2006/relationships/hyperlink" Target="https://www.kegg.jp/pathway/ec00860" TargetMode="External"/><Relationship Id="rId199" Type="http://schemas.openxmlformats.org/officeDocument/2006/relationships/hyperlink" Target="https://www.brenda-enzymes.org/enzyme.php?ecno=4.1.1.37" TargetMode="External"/><Relationship Id="rId200" Type="http://schemas.openxmlformats.org/officeDocument/2006/relationships/hyperlink" Target="https://www.ebi.ac.uk/interpro/entry/pfam/PF08132/" TargetMode="External"/><Relationship Id="rId201" Type="http://schemas.openxmlformats.org/officeDocument/2006/relationships/hyperlink" Target="https://www.ebi.ac.uk/interpro/entry/pfam/PF08132/" TargetMode="External"/><Relationship Id="rId202" Type="http://schemas.openxmlformats.org/officeDocument/2006/relationships/hyperlink" Target="https://www.kegg.jp/entry/map00270" TargetMode="External"/><Relationship Id="rId203" Type="http://schemas.openxmlformats.org/officeDocument/2006/relationships/hyperlink" Target="https://www.brenda-enzymes.org/enzyme.php?ecno=4.1.1.50" TargetMode="External"/><Relationship Id="rId204" Type="http://schemas.openxmlformats.org/officeDocument/2006/relationships/hyperlink" Target="https://www.ebi.ac.uk/interpro/entry/pfam/PF17810/" TargetMode="External"/><Relationship Id="rId205" Type="http://schemas.openxmlformats.org/officeDocument/2006/relationships/hyperlink" Target="https://www.ebi.ac.uk/interpro/entry/pfam/PF17810/" TargetMode="External"/><Relationship Id="rId206" Type="http://schemas.openxmlformats.org/officeDocument/2006/relationships/hyperlink" Target="https://prosite.expasy.org/cgi-bin/prosite/nicedoc.pl?PS00878" TargetMode="External"/><Relationship Id="rId207" Type="http://schemas.openxmlformats.org/officeDocument/2006/relationships/hyperlink" Target="https://www.kegg.jp/pathway/map00330" TargetMode="External"/><Relationship Id="rId208" Type="http://schemas.openxmlformats.org/officeDocument/2006/relationships/hyperlink" Target="https://www.brenda-enzymes.org/enzyme.php?ecno=4.1.1.19" TargetMode="External"/><Relationship Id="rId209" Type="http://schemas.openxmlformats.org/officeDocument/2006/relationships/hyperlink" Target="https://www.ebi.ac.uk/interpro/entry/pfam/PF00282/" TargetMode="External"/><Relationship Id="rId210" Type="http://schemas.openxmlformats.org/officeDocument/2006/relationships/hyperlink" Target="https://www.ebi.ac.uk/interpro/entry/pfam/PF00282/" TargetMode="External"/><Relationship Id="rId211" Type="http://schemas.openxmlformats.org/officeDocument/2006/relationships/hyperlink" Target="https://prosite.expasy.org/cgi-bin/prosite/nicedoc.pl?PS00392" TargetMode="External"/><Relationship Id="rId212" Type="http://schemas.openxmlformats.org/officeDocument/2006/relationships/hyperlink" Target="https://www.ebi.ac.uk/interpro/entry/pfam/PF00278/" TargetMode="External"/><Relationship Id="rId213" Type="http://schemas.openxmlformats.org/officeDocument/2006/relationships/hyperlink" Target="https://www.ebi.ac.uk/interpro/entry/pfam/PF00278/" TargetMode="External"/><Relationship Id="rId214" Type="http://schemas.openxmlformats.org/officeDocument/2006/relationships/hyperlink" Target="https://prosite.expasy.org/cgi-bin/prosite/nicedoc.pl?PS00878" TargetMode="External"/><Relationship Id="rId215" Type="http://schemas.openxmlformats.org/officeDocument/2006/relationships/hyperlink" Target="https://www.kegg.jp/pathway/ec00480+4.1.1.17" TargetMode="External"/><Relationship Id="rId216" Type="http://schemas.openxmlformats.org/officeDocument/2006/relationships/hyperlink" Target="https://www.brenda-enzymes.org/enzyme.php?ecno=4.1.1.17" TargetMode="External"/><Relationship Id="rId217" Type="http://schemas.openxmlformats.org/officeDocument/2006/relationships/hyperlink" Target="https://www.ebi.ac.uk/interpro/entry/pfam/PF03709/" TargetMode="External"/><Relationship Id="rId218" Type="http://schemas.openxmlformats.org/officeDocument/2006/relationships/hyperlink" Target="https://www.ebi.ac.uk/interpro/entry/pfam/PF03709/" TargetMode="External"/><Relationship Id="rId219" Type="http://schemas.openxmlformats.org/officeDocument/2006/relationships/hyperlink" Target="https://www.uniprot.org/taxonomy/83333" TargetMode="External"/><Relationship Id="rId220" Type="http://schemas.openxmlformats.org/officeDocument/2006/relationships/hyperlink" Target="https://prosite.expasy.org/cgi-bin/prosite/nicedoc.pl?PS00703" TargetMode="External"/><Relationship Id="rId221" Type="http://schemas.openxmlformats.org/officeDocument/2006/relationships/hyperlink" Target="https://www.kegg.jp/pathway/map00330" TargetMode="External"/><Relationship Id="rId222" Type="http://schemas.openxmlformats.org/officeDocument/2006/relationships/hyperlink" Target="https://www.brenda-enzymes.org/enzyme.php?ecno=4.1.1.19" TargetMode="External"/><Relationship Id="rId223" Type="http://schemas.openxmlformats.org/officeDocument/2006/relationships/hyperlink" Target="https://www.ebi.ac.uk/interpro/entry/pfam/PF17645/" TargetMode="External"/><Relationship Id="rId224" Type="http://schemas.openxmlformats.org/officeDocument/2006/relationships/hyperlink" Target="https://www.ebi.ac.uk/interpro/entry/pfam/PF17645/" TargetMode="External"/><Relationship Id="rId225" Type="http://schemas.openxmlformats.org/officeDocument/2006/relationships/hyperlink" Target="https://www.brenda-enzymes.org/enzyme.php?ecno=4.1.1.76" TargetMode="External"/><Relationship Id="rId226" Type="http://schemas.openxmlformats.org/officeDocument/2006/relationships/hyperlink" Target="https://www.ebi.ac.uk/interpro/entry/pfam/PF04277/" TargetMode="External"/><Relationship Id="rId227" Type="http://schemas.openxmlformats.org/officeDocument/2006/relationships/hyperlink" Target="https://www.ebi.ac.uk/interpro/entry/pfam/PF04277/" TargetMode="External"/><Relationship Id="rId228" Type="http://schemas.openxmlformats.org/officeDocument/2006/relationships/hyperlink" Target="https://www.uniprot.org/taxonomy/573" TargetMode="External"/><Relationship Id="rId229" Type="http://schemas.openxmlformats.org/officeDocument/2006/relationships/hyperlink" Target="https://www.genome.jp/pathway/map00620+4.1.1.112" TargetMode="External"/><Relationship Id="rId230" Type="http://schemas.openxmlformats.org/officeDocument/2006/relationships/hyperlink" Target="https://www.brenda-enzymes.org/enzyme.php?ecno=4.1.1.112" TargetMode="External"/><Relationship Id="rId231" Type="http://schemas.openxmlformats.org/officeDocument/2006/relationships/hyperlink" Target="https://www.ebi.ac.uk/interpro/entry/pfam/PF11803/" TargetMode="External"/><Relationship Id="rId232" Type="http://schemas.openxmlformats.org/officeDocument/2006/relationships/hyperlink" Target="https://www.ebi.ac.uk/interpro/entry/pfam/PF11803/" TargetMode="External"/><Relationship Id="rId233" Type="http://schemas.openxmlformats.org/officeDocument/2006/relationships/hyperlink" Target="javascript:domWin(1)" TargetMode="External"/><Relationship Id="rId234" Type="http://schemas.openxmlformats.org/officeDocument/2006/relationships/hyperlink" Target="https://www.genome.jp/pathway/map00520+4.1.1.35" TargetMode="External"/><Relationship Id="rId235" Type="http://schemas.openxmlformats.org/officeDocument/2006/relationships/hyperlink" Target="https://www.brenda-enzymes.org/enzyme.php?ecno=4.1.1.35" TargetMode="External"/><Relationship Id="rId236" Type="http://schemas.openxmlformats.org/officeDocument/2006/relationships/hyperlink" Target="https://www.ebi.ac.uk/interpro/entry/pfam/PF03977/" TargetMode="External"/><Relationship Id="rId237" Type="http://schemas.openxmlformats.org/officeDocument/2006/relationships/hyperlink" Target="https://www.ebi.ac.uk/interpro/entry/pfam/PF03977/" TargetMode="External"/><Relationship Id="rId238" Type="http://schemas.openxmlformats.org/officeDocument/2006/relationships/hyperlink" Target="https://www.genome.jp/pathway/map00620+4.1.1.112" TargetMode="External"/><Relationship Id="rId239" Type="http://schemas.openxmlformats.org/officeDocument/2006/relationships/hyperlink" Target="https://www.brenda-enzymes.org/enzyme.php?ecno=4.1.1.112" TargetMode="External"/><Relationship Id="rId240" Type="http://schemas.openxmlformats.org/officeDocument/2006/relationships/hyperlink" Target="https://www.ebi.ac.uk/interpro/entry/pfam/PF01977/" TargetMode="External"/><Relationship Id="rId241" Type="http://schemas.openxmlformats.org/officeDocument/2006/relationships/hyperlink" Target="https://www.ebi.ac.uk/interpro/entry/pfam/PF01977/" TargetMode="External"/><Relationship Id="rId242" Type="http://schemas.openxmlformats.org/officeDocument/2006/relationships/hyperlink" Target="https://www.genome.jp/pathway/map00130+4.1.1.98" TargetMode="External"/><Relationship Id="rId243" Type="http://schemas.openxmlformats.org/officeDocument/2006/relationships/hyperlink" Target="https://www.brenda-enzymes.org/enzyme.php?ecno=4.1.1.98" TargetMode="External"/><Relationship Id="rId244" Type="http://schemas.openxmlformats.org/officeDocument/2006/relationships/hyperlink" Target="https://www.ebi.ac.uk/interpro/entry/pfam/PF20695/" TargetMode="External"/><Relationship Id="rId245" Type="http://schemas.openxmlformats.org/officeDocument/2006/relationships/hyperlink" Target="https://www.ebi.ac.uk/interpro/entry/pfam/PF20695/" TargetMode="External"/><Relationship Id="rId246" Type="http://schemas.openxmlformats.org/officeDocument/2006/relationships/hyperlink" Target="https://www.genome.jp/pathway/map00130+4.1.1.98" TargetMode="External"/><Relationship Id="rId247" Type="http://schemas.openxmlformats.org/officeDocument/2006/relationships/hyperlink" Target="https://www.brenda-enzymes.org/enzyme.php?ecno=4.1.1.98" TargetMode="External"/><Relationship Id="rId248" Type="http://schemas.openxmlformats.org/officeDocument/2006/relationships/hyperlink" Target="https://www.ebi.ac.uk/interpro/entry/pfam/PF01177/" TargetMode="External"/><Relationship Id="rId249" Type="http://schemas.openxmlformats.org/officeDocument/2006/relationships/hyperlink" Target="https://www.ebi.ac.uk/interpro/entry/pfam/PF01177/" TargetMode="External"/><Relationship Id="rId250" Type="http://schemas.openxmlformats.org/officeDocument/2006/relationships/hyperlink" Target="https://prosite.expasy.org/cgi-bin/prosite/nicedoc.pl?PS00923" TargetMode="External"/><Relationship Id="rId251" Type="http://schemas.openxmlformats.org/officeDocument/2006/relationships/hyperlink" Target="https://www.brenda-enzymes.org/enzyme.php?ecno=4.1.1.76" TargetMode="External"/><Relationship Id="rId252" Type="http://schemas.openxmlformats.org/officeDocument/2006/relationships/hyperlink" Target="https://www.ebi.ac.uk/interpro/entry/pfam/PF09662/" TargetMode="External"/><Relationship Id="rId25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11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K53" activeCellId="3" sqref="K43 K47:K48 K50 K53"/>
    </sheetView>
  </sheetViews>
  <sheetFormatPr defaultColWidth="182.144531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61.43"/>
    <col collapsed="false" customWidth="true" hidden="false" outlineLevel="0" max="3" min="3" style="0" width="28.71"/>
    <col collapsed="false" customWidth="true" hidden="false" outlineLevel="0" max="4" min="4" style="0" width="12.29"/>
    <col collapsed="false" customWidth="true" hidden="false" outlineLevel="0" max="5" min="5" style="0" width="32.43"/>
    <col collapsed="false" customWidth="true" hidden="false" outlineLevel="0" max="6" min="6" style="0" width="13.14"/>
    <col collapsed="false" customWidth="true" hidden="false" outlineLevel="0" max="8" min="7" style="0" width="14.71"/>
    <col collapsed="false" customWidth="true" hidden="false" outlineLevel="0" max="9" min="9" style="0" width="26.43"/>
    <col collapsed="false" customWidth="true" hidden="false" outlineLevel="0" max="10" min="10" style="0" width="27.71"/>
    <col collapsed="false" customWidth="true" hidden="false" outlineLevel="0" max="11" min="11" style="0" width="86.14"/>
    <col collapsed="false" customWidth="true" hidden="false" outlineLevel="0" max="12" min="12" style="0" width="25.14"/>
    <col collapsed="false" customWidth="true" hidden="false" outlineLevel="0" max="13" min="13" style="0" width="53.14"/>
    <col collapsed="false" customWidth="true" hidden="false" outlineLevel="0" max="20" min="14" style="0" width="115"/>
    <col collapsed="false" customWidth="true" hidden="false" outlineLevel="0" max="21" min="21" style="0" width="47.29"/>
    <col collapsed="false" customWidth="true" hidden="false" outlineLevel="0" max="22" min="22" style="0" width="18"/>
    <col collapsed="false" customWidth="true" hidden="false" outlineLevel="0" max="23" min="23" style="0" width="54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15</v>
      </c>
      <c r="T1" s="2" t="s">
        <v>18</v>
      </c>
      <c r="U1" s="2" t="s">
        <v>19</v>
      </c>
      <c r="V1" s="1" t="s">
        <v>20</v>
      </c>
      <c r="W1" s="1" t="s">
        <v>21</v>
      </c>
      <c r="X1" s="2" t="s">
        <v>22</v>
      </c>
    </row>
    <row r="2" customFormat="false" ht="30" hidden="false" customHeight="false" outlineLevel="0" collapsed="false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 t="s">
        <v>34</v>
      </c>
      <c r="M2" s="0" t="s">
        <v>35</v>
      </c>
      <c r="N2" s="0" t="s">
        <v>36</v>
      </c>
      <c r="O2" s="0" t="s">
        <v>37</v>
      </c>
      <c r="Q2" s="3"/>
      <c r="R2" s="4" t="s">
        <v>38</v>
      </c>
      <c r="S2" s="5" t="s">
        <v>39</v>
      </c>
      <c r="T2" s="6" t="s">
        <v>40</v>
      </c>
      <c r="U2" s="0" t="str">
        <f aca="false">"- (low complexity)"</f>
        <v>- (low complexity)</v>
      </c>
      <c r="V2" s="4" t="s">
        <v>41</v>
      </c>
      <c r="W2" s="0" t="s">
        <v>42</v>
      </c>
      <c r="X2" s="4" t="s">
        <v>43</v>
      </c>
    </row>
    <row r="3" customFormat="false" ht="15" hidden="false" customHeight="false" outlineLevel="0" collapsed="false">
      <c r="A3" s="0" t="s">
        <v>44</v>
      </c>
      <c r="B3" s="0" t="s">
        <v>45</v>
      </c>
      <c r="C3" s="0" t="s">
        <v>46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47</v>
      </c>
      <c r="M3" s="0" t="s">
        <v>35</v>
      </c>
      <c r="N3" s="0" t="s">
        <v>48</v>
      </c>
      <c r="O3" s="6" t="s">
        <v>49</v>
      </c>
      <c r="Q3" s="3"/>
      <c r="R3" s="0" t="s">
        <v>49</v>
      </c>
      <c r="U3" s="0" t="s">
        <v>50</v>
      </c>
      <c r="V3" s="4" t="s">
        <v>41</v>
      </c>
      <c r="W3" s="0" t="s">
        <v>42</v>
      </c>
      <c r="X3" s="4" t="s">
        <v>43</v>
      </c>
    </row>
    <row r="4" customFormat="false" ht="45" hidden="false" customHeight="false" outlineLevel="0" collapsed="false">
      <c r="A4" s="0" t="s">
        <v>51</v>
      </c>
      <c r="B4" s="0" t="s">
        <v>52</v>
      </c>
      <c r="C4" s="0" t="s">
        <v>53</v>
      </c>
      <c r="D4" s="0" t="s">
        <v>26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 t="s">
        <v>60</v>
      </c>
      <c r="L4" s="0" t="s">
        <v>61</v>
      </c>
      <c r="M4" s="0" t="s">
        <v>62</v>
      </c>
      <c r="N4" s="0" t="s">
        <v>63</v>
      </c>
      <c r="O4" s="6" t="s">
        <v>64</v>
      </c>
      <c r="P4" s="6" t="s">
        <v>65</v>
      </c>
      <c r="Q4" s="7" t="s">
        <v>66</v>
      </c>
      <c r="R4" s="6" t="s">
        <v>67</v>
      </c>
      <c r="S4" s="6" t="s">
        <v>68</v>
      </c>
      <c r="T4" s="6" t="s">
        <v>69</v>
      </c>
      <c r="U4" s="0" t="s">
        <v>70</v>
      </c>
      <c r="V4" s="4" t="s">
        <v>71</v>
      </c>
      <c r="W4" s="0" t="s">
        <v>72</v>
      </c>
      <c r="X4" s="4" t="s">
        <v>73</v>
      </c>
    </row>
    <row r="5" customFormat="false" ht="30.75" hidden="false" customHeight="false" outlineLevel="0" collapsed="false">
      <c r="A5" s="0" t="s">
        <v>74</v>
      </c>
      <c r="B5" s="0" t="s">
        <v>75</v>
      </c>
      <c r="C5" s="0" t="s">
        <v>76</v>
      </c>
      <c r="D5" s="0" t="s">
        <v>77</v>
      </c>
      <c r="E5" s="0" t="s">
        <v>78</v>
      </c>
      <c r="F5" s="0" t="s">
        <v>79</v>
      </c>
      <c r="G5" s="0" t="s">
        <v>29</v>
      </c>
      <c r="H5" s="0" t="s">
        <v>57</v>
      </c>
      <c r="I5" s="0" t="s">
        <v>80</v>
      </c>
      <c r="J5" s="0" t="s">
        <v>81</v>
      </c>
      <c r="K5" s="0" t="s">
        <v>33</v>
      </c>
      <c r="L5" s="0" t="s">
        <v>82</v>
      </c>
      <c r="M5" s="0" t="s">
        <v>83</v>
      </c>
      <c r="N5" s="0" t="s">
        <v>84</v>
      </c>
      <c r="O5" s="6" t="s">
        <v>37</v>
      </c>
      <c r="Q5" s="3"/>
      <c r="R5" s="6" t="s">
        <v>85</v>
      </c>
      <c r="S5" s="8" t="s">
        <v>86</v>
      </c>
      <c r="T5" s="6" t="s">
        <v>87</v>
      </c>
      <c r="U5" s="0" t="str">
        <f aca="false">"- (low complexity)"</f>
        <v>- (low complexity)</v>
      </c>
      <c r="V5" s="4" t="s">
        <v>41</v>
      </c>
      <c r="W5" s="6" t="s">
        <v>88</v>
      </c>
      <c r="X5" s="4" t="s">
        <v>73</v>
      </c>
    </row>
    <row r="6" customFormat="false" ht="15" hidden="false" customHeight="false" outlineLevel="0" collapsed="false">
      <c r="A6" s="0" t="s">
        <v>89</v>
      </c>
      <c r="B6" s="0" t="s">
        <v>90</v>
      </c>
      <c r="C6" s="0" t="s">
        <v>91</v>
      </c>
      <c r="D6" s="0" t="s">
        <v>26</v>
      </c>
      <c r="E6" s="0" t="s">
        <v>92</v>
      </c>
      <c r="F6" s="0" t="s">
        <v>93</v>
      </c>
      <c r="G6" s="0" t="s">
        <v>29</v>
      </c>
      <c r="H6" s="0" t="s">
        <v>30</v>
      </c>
      <c r="I6" s="0" t="s">
        <v>94</v>
      </c>
      <c r="J6" s="0" t="s">
        <v>95</v>
      </c>
      <c r="K6" s="0" t="s">
        <v>96</v>
      </c>
      <c r="L6" s="0" t="s">
        <v>97</v>
      </c>
      <c r="M6" s="0" t="s">
        <v>98</v>
      </c>
      <c r="N6" s="0" t="s">
        <v>99</v>
      </c>
      <c r="O6" s="0" t="s">
        <v>49</v>
      </c>
      <c r="Q6" s="3"/>
      <c r="R6" s="6" t="s">
        <v>49</v>
      </c>
      <c r="U6" s="0" t="s">
        <v>37</v>
      </c>
      <c r="V6" s="4" t="s">
        <v>100</v>
      </c>
      <c r="W6" s="6" t="s">
        <v>101</v>
      </c>
      <c r="X6" s="4" t="s">
        <v>102</v>
      </c>
    </row>
    <row r="7" customFormat="false" ht="30" hidden="false" customHeight="false" outlineLevel="0" collapsed="false">
      <c r="A7" s="0" t="s">
        <v>103</v>
      </c>
      <c r="B7" s="0" t="s">
        <v>104</v>
      </c>
      <c r="C7" s="0" t="s">
        <v>105</v>
      </c>
      <c r="D7" s="0" t="s">
        <v>77</v>
      </c>
      <c r="E7" s="0" t="s">
        <v>27</v>
      </c>
      <c r="F7" s="0" t="s">
        <v>28</v>
      </c>
      <c r="G7" s="0" t="s">
        <v>29</v>
      </c>
      <c r="H7" s="0" t="s">
        <v>30</v>
      </c>
      <c r="I7" s="0" t="s">
        <v>31</v>
      </c>
      <c r="J7" s="0" t="s">
        <v>32</v>
      </c>
      <c r="K7" s="0" t="s">
        <v>33</v>
      </c>
      <c r="L7" s="0" t="s">
        <v>106</v>
      </c>
      <c r="M7" s="0" t="s">
        <v>107</v>
      </c>
      <c r="N7" s="0" t="s">
        <v>108</v>
      </c>
      <c r="O7" s="6" t="s">
        <v>37</v>
      </c>
      <c r="Q7" s="3"/>
      <c r="R7" s="4" t="s">
        <v>38</v>
      </c>
      <c r="S7" s="5" t="s">
        <v>39</v>
      </c>
      <c r="T7" s="6" t="s">
        <v>40</v>
      </c>
      <c r="U7" s="0" t="s">
        <v>37</v>
      </c>
      <c r="V7" s="4" t="s">
        <v>41</v>
      </c>
      <c r="W7" s="0" t="s">
        <v>42</v>
      </c>
      <c r="X7" s="4" t="s">
        <v>43</v>
      </c>
      <c r="AC7" s="9"/>
      <c r="AG7" s="4"/>
      <c r="AN7" s="9"/>
      <c r="AR7" s="4"/>
      <c r="AY7" s="9"/>
      <c r="BC7" s="4"/>
      <c r="BJ7" s="9"/>
      <c r="BN7" s="4"/>
      <c r="BU7" s="9"/>
      <c r="BY7" s="4"/>
      <c r="CF7" s="9"/>
      <c r="CJ7" s="4"/>
      <c r="CQ7" s="9"/>
      <c r="CU7" s="4"/>
      <c r="DB7" s="9"/>
    </row>
    <row r="8" customFormat="false" ht="60" hidden="false" customHeight="false" outlineLevel="0" collapsed="false">
      <c r="A8" s="0" t="s">
        <v>109</v>
      </c>
      <c r="B8" s="0" t="s">
        <v>110</v>
      </c>
      <c r="C8" s="0" t="s">
        <v>111</v>
      </c>
      <c r="D8" s="0" t="s">
        <v>26</v>
      </c>
      <c r="E8" s="0" t="s">
        <v>112</v>
      </c>
      <c r="F8" s="0" t="s">
        <v>113</v>
      </c>
      <c r="G8" s="0" t="s">
        <v>56</v>
      </c>
      <c r="H8" s="0" t="s">
        <v>57</v>
      </c>
      <c r="I8" s="0" t="s">
        <v>114</v>
      </c>
      <c r="J8" s="0" t="s">
        <v>81</v>
      </c>
      <c r="K8" s="0" t="s">
        <v>115</v>
      </c>
      <c r="L8" s="0" t="s">
        <v>116</v>
      </c>
      <c r="M8" s="0" t="s">
        <v>62</v>
      </c>
      <c r="N8" s="0" t="s">
        <v>117</v>
      </c>
      <c r="O8" s="6" t="s">
        <v>118</v>
      </c>
      <c r="P8" s="6" t="s">
        <v>119</v>
      </c>
      <c r="Q8" s="7" t="s">
        <v>120</v>
      </c>
      <c r="R8" s="4" t="s">
        <v>121</v>
      </c>
      <c r="S8" s="5" t="s">
        <v>122</v>
      </c>
      <c r="T8" s="0" t="n">
        <v>0</v>
      </c>
      <c r="U8" s="0" t="s">
        <v>123</v>
      </c>
      <c r="V8" s="4" t="s">
        <v>124</v>
      </c>
      <c r="W8" s="0" t="s">
        <v>125</v>
      </c>
      <c r="X8" s="4" t="s">
        <v>126</v>
      </c>
      <c r="AC8" s="9"/>
      <c r="AG8" s="4"/>
      <c r="AN8" s="9"/>
      <c r="AR8" s="4"/>
      <c r="AY8" s="9"/>
      <c r="BC8" s="4"/>
      <c r="BJ8" s="9"/>
      <c r="BN8" s="4"/>
      <c r="BU8" s="9"/>
      <c r="BY8" s="4"/>
      <c r="CF8" s="9"/>
      <c r="CJ8" s="4"/>
      <c r="CQ8" s="9"/>
      <c r="CU8" s="4"/>
      <c r="DB8" s="9"/>
    </row>
    <row r="9" customFormat="false" ht="45" hidden="false" customHeight="false" outlineLevel="0" collapsed="false">
      <c r="A9" s="0" t="s">
        <v>127</v>
      </c>
      <c r="B9" s="0" t="s">
        <v>128</v>
      </c>
      <c r="C9" s="0" t="s">
        <v>129</v>
      </c>
      <c r="D9" s="0" t="s">
        <v>77</v>
      </c>
      <c r="E9" s="0" t="s">
        <v>130</v>
      </c>
      <c r="F9" s="0" t="s">
        <v>131</v>
      </c>
      <c r="G9" s="0" t="s">
        <v>56</v>
      </c>
      <c r="H9" s="0" t="s">
        <v>57</v>
      </c>
      <c r="I9" s="0" t="s">
        <v>132</v>
      </c>
      <c r="J9" s="0" t="s">
        <v>133</v>
      </c>
      <c r="K9" s="0" t="s">
        <v>134</v>
      </c>
      <c r="L9" s="0" t="s">
        <v>135</v>
      </c>
      <c r="M9" s="0" t="s">
        <v>136</v>
      </c>
      <c r="N9" s="0" t="s">
        <v>137</v>
      </c>
      <c r="O9" s="6" t="s">
        <v>64</v>
      </c>
      <c r="P9" s="6" t="s">
        <v>65</v>
      </c>
      <c r="Q9" s="7" t="s">
        <v>138</v>
      </c>
      <c r="R9" s="6" t="s">
        <v>67</v>
      </c>
      <c r="S9" s="6" t="s">
        <v>68</v>
      </c>
      <c r="T9" s="6" t="s">
        <v>69</v>
      </c>
      <c r="U9" s="0" t="s">
        <v>139</v>
      </c>
      <c r="V9" s="4" t="s">
        <v>140</v>
      </c>
      <c r="W9" s="0" t="s">
        <v>141</v>
      </c>
      <c r="X9" s="4" t="s">
        <v>142</v>
      </c>
    </row>
    <row r="10" customFormat="false" ht="15" hidden="false" customHeight="false" outlineLevel="0" collapsed="false">
      <c r="A10" s="1" t="s">
        <v>143</v>
      </c>
      <c r="B10" s="0" t="s">
        <v>144</v>
      </c>
      <c r="C10" s="0" t="s">
        <v>145</v>
      </c>
      <c r="D10" s="0" t="s">
        <v>77</v>
      </c>
      <c r="E10" s="0" t="s">
        <v>130</v>
      </c>
      <c r="F10" s="0" t="s">
        <v>131</v>
      </c>
      <c r="G10" s="0" t="s">
        <v>56</v>
      </c>
      <c r="H10" s="0" t="s">
        <v>57</v>
      </c>
      <c r="I10" s="0" t="s">
        <v>132</v>
      </c>
      <c r="J10" s="0" t="s">
        <v>133</v>
      </c>
      <c r="K10" s="0" t="s">
        <v>134</v>
      </c>
      <c r="L10" s="0" t="s">
        <v>146</v>
      </c>
      <c r="M10" s="0" t="s">
        <v>147</v>
      </c>
      <c r="N10" s="0" t="s">
        <v>148</v>
      </c>
      <c r="O10" s="6" t="s">
        <v>49</v>
      </c>
      <c r="R10" s="0" t="s">
        <v>49</v>
      </c>
      <c r="U10" s="0" t="s">
        <v>149</v>
      </c>
      <c r="V10" s="4" t="s">
        <v>140</v>
      </c>
      <c r="W10" s="0" t="s">
        <v>141</v>
      </c>
      <c r="X10" s="4" t="s">
        <v>142</v>
      </c>
    </row>
    <row r="11" customFormat="false" ht="45" hidden="false" customHeight="false" outlineLevel="0" collapsed="false">
      <c r="A11" s="1" t="s">
        <v>150</v>
      </c>
      <c r="B11" s="0" t="s">
        <v>151</v>
      </c>
      <c r="C11" s="0" t="s">
        <v>152</v>
      </c>
      <c r="D11" s="0" t="s">
        <v>26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62</v>
      </c>
      <c r="N11" s="0" t="s">
        <v>63</v>
      </c>
      <c r="O11" s="6" t="s">
        <v>64</v>
      </c>
      <c r="P11" s="6" t="s">
        <v>65</v>
      </c>
      <c r="Q11" s="7" t="s">
        <v>66</v>
      </c>
      <c r="R11" s="6" t="s">
        <v>67</v>
      </c>
      <c r="S11" s="6" t="s">
        <v>68</v>
      </c>
      <c r="T11" s="6" t="s">
        <v>69</v>
      </c>
      <c r="U11" s="0" t="s">
        <v>70</v>
      </c>
      <c r="V11" s="4" t="s">
        <v>71</v>
      </c>
      <c r="W11" s="0" t="s">
        <v>72</v>
      </c>
      <c r="X11" s="4" t="s">
        <v>73</v>
      </c>
    </row>
    <row r="12" customFormat="false" ht="30" hidden="false" customHeight="false" outlineLevel="0" collapsed="false">
      <c r="A12" s="0" t="s">
        <v>153</v>
      </c>
      <c r="B12" s="0" t="s">
        <v>154</v>
      </c>
      <c r="C12" s="0" t="s">
        <v>155</v>
      </c>
      <c r="D12" s="0" t="s">
        <v>26</v>
      </c>
      <c r="E12" s="0" t="s">
        <v>27</v>
      </c>
      <c r="F12" s="0" t="s">
        <v>28</v>
      </c>
      <c r="G12" s="0" t="s">
        <v>29</v>
      </c>
      <c r="H12" s="0" t="s">
        <v>30</v>
      </c>
      <c r="I12" s="0" t="s">
        <v>31</v>
      </c>
      <c r="J12" s="0" t="s">
        <v>32</v>
      </c>
      <c r="K12" s="0" t="s">
        <v>33</v>
      </c>
      <c r="L12" s="0" t="s">
        <v>34</v>
      </c>
      <c r="M12" s="0" t="s">
        <v>35</v>
      </c>
      <c r="N12" s="0" t="s">
        <v>36</v>
      </c>
      <c r="O12" s="6" t="s">
        <v>37</v>
      </c>
      <c r="Q12" s="3"/>
      <c r="R12" s="4" t="s">
        <v>38</v>
      </c>
      <c r="S12" s="5" t="s">
        <v>39</v>
      </c>
      <c r="T12" s="6" t="s">
        <v>40</v>
      </c>
      <c r="U12" s="0" t="str">
        <f aca="false">"- (low complexity)"</f>
        <v>- (low complexity)</v>
      </c>
      <c r="V12" s="4" t="s">
        <v>41</v>
      </c>
      <c r="W12" s="0" t="s">
        <v>42</v>
      </c>
      <c r="X12" s="4" t="s">
        <v>43</v>
      </c>
    </row>
    <row r="13" customFormat="false" ht="15.75" hidden="false" customHeight="false" outlineLevel="0" collapsed="false">
      <c r="A13" s="0" t="s">
        <v>156</v>
      </c>
      <c r="B13" s="0" t="s">
        <v>157</v>
      </c>
      <c r="C13" s="0" t="s">
        <v>158</v>
      </c>
      <c r="D13" s="0" t="s">
        <v>77</v>
      </c>
      <c r="E13" s="0" t="s">
        <v>159</v>
      </c>
      <c r="F13" s="0" t="s">
        <v>160</v>
      </c>
      <c r="G13" s="0" t="s">
        <v>56</v>
      </c>
      <c r="H13" s="0" t="s">
        <v>57</v>
      </c>
      <c r="I13" s="0" t="s">
        <v>161</v>
      </c>
      <c r="J13" s="0" t="s">
        <v>162</v>
      </c>
      <c r="K13" s="0" t="s">
        <v>60</v>
      </c>
      <c r="L13" s="0" t="s">
        <v>163</v>
      </c>
      <c r="M13" s="0" t="s">
        <v>164</v>
      </c>
      <c r="N13" s="0" t="s">
        <v>165</v>
      </c>
      <c r="O13" s="4" t="s">
        <v>166</v>
      </c>
      <c r="P13" s="5" t="s">
        <v>167</v>
      </c>
      <c r="Q13" s="10" t="str">
        <f aca="false">"115.729"</f>
        <v>115.729</v>
      </c>
      <c r="R13" s="5" t="s">
        <v>37</v>
      </c>
      <c r="S13" s="5"/>
      <c r="T13" s="5"/>
      <c r="U13" s="0" t="str">
        <f aca="false">"- (2x low complexity)"</f>
        <v>- (2x low complexity)</v>
      </c>
      <c r="V13" s="4" t="s">
        <v>168</v>
      </c>
      <c r="W13" s="0" t="s">
        <v>169</v>
      </c>
      <c r="X13" s="4" t="s">
        <v>170</v>
      </c>
    </row>
    <row r="14" customFormat="false" ht="15" hidden="false" customHeight="false" outlineLevel="0" collapsed="false">
      <c r="A14" s="0" t="s">
        <v>171</v>
      </c>
      <c r="B14" s="0" t="s">
        <v>172</v>
      </c>
      <c r="C14" s="0" t="s">
        <v>173</v>
      </c>
      <c r="D14" s="0" t="s">
        <v>77</v>
      </c>
      <c r="E14" s="0" t="s">
        <v>174</v>
      </c>
      <c r="F14" s="0" t="s">
        <v>175</v>
      </c>
      <c r="G14" s="0" t="s">
        <v>29</v>
      </c>
      <c r="H14" s="0" t="s">
        <v>30</v>
      </c>
      <c r="I14" s="0" t="s">
        <v>176</v>
      </c>
      <c r="J14" s="0" t="s">
        <v>177</v>
      </c>
      <c r="K14" s="0" t="s">
        <v>178</v>
      </c>
      <c r="L14" s="0" t="s">
        <v>179</v>
      </c>
      <c r="M14" s="0" t="s">
        <v>62</v>
      </c>
      <c r="N14" s="0" t="s">
        <v>180</v>
      </c>
      <c r="O14" s="6" t="s">
        <v>49</v>
      </c>
      <c r="Q14" s="3"/>
      <c r="R14" s="6" t="s">
        <v>49</v>
      </c>
      <c r="U14" s="0" t="s">
        <v>181</v>
      </c>
      <c r="V14" s="4" t="s">
        <v>182</v>
      </c>
      <c r="W14" s="0" t="s">
        <v>183</v>
      </c>
      <c r="X14" s="4" t="s">
        <v>184</v>
      </c>
    </row>
    <row r="15" customFormat="false" ht="75" hidden="false" customHeight="false" outlineLevel="0" collapsed="false">
      <c r="A15" s="0" t="s">
        <v>185</v>
      </c>
      <c r="B15" s="0" t="s">
        <v>186</v>
      </c>
      <c r="C15" s="0" t="s">
        <v>187</v>
      </c>
      <c r="D15" s="0" t="s">
        <v>77</v>
      </c>
      <c r="E15" s="0" t="s">
        <v>159</v>
      </c>
      <c r="F15" s="0" t="s">
        <v>160</v>
      </c>
      <c r="G15" s="0" t="s">
        <v>56</v>
      </c>
      <c r="H15" s="0" t="s">
        <v>57</v>
      </c>
      <c r="I15" s="0" t="s">
        <v>161</v>
      </c>
      <c r="J15" s="0" t="s">
        <v>162</v>
      </c>
      <c r="K15" s="0" t="s">
        <v>60</v>
      </c>
      <c r="L15" s="0" t="s">
        <v>188</v>
      </c>
      <c r="M15" s="0" t="s">
        <v>62</v>
      </c>
      <c r="N15" s="0" t="s">
        <v>189</v>
      </c>
      <c r="O15" s="11" t="s">
        <v>190</v>
      </c>
      <c r="P15" s="6" t="s">
        <v>191</v>
      </c>
      <c r="Q15" s="7" t="s">
        <v>192</v>
      </c>
      <c r="R15" s="6" t="s">
        <v>193</v>
      </c>
      <c r="S15" s="6" t="s">
        <v>194</v>
      </c>
      <c r="T15" s="6" t="s">
        <v>87</v>
      </c>
      <c r="U15" s="12" t="s">
        <v>195</v>
      </c>
      <c r="V15" s="4" t="s">
        <v>168</v>
      </c>
      <c r="W15" s="0" t="s">
        <v>169</v>
      </c>
      <c r="X15" s="4" t="s">
        <v>170</v>
      </c>
    </row>
    <row r="16" customFormat="false" ht="15" hidden="false" customHeight="false" outlineLevel="0" collapsed="false">
      <c r="A16" s="1" t="s">
        <v>196</v>
      </c>
      <c r="B16" s="0" t="s">
        <v>197</v>
      </c>
      <c r="C16" s="0" t="s">
        <v>198</v>
      </c>
      <c r="D16" s="0" t="s">
        <v>26</v>
      </c>
      <c r="E16" s="0" t="s">
        <v>199</v>
      </c>
      <c r="F16" s="0" t="s">
        <v>200</v>
      </c>
      <c r="G16" s="0" t="s">
        <v>56</v>
      </c>
      <c r="H16" s="0" t="s">
        <v>57</v>
      </c>
      <c r="I16" s="0" t="s">
        <v>201</v>
      </c>
      <c r="J16" s="0" t="s">
        <v>202</v>
      </c>
      <c r="K16" s="0" t="s">
        <v>60</v>
      </c>
      <c r="L16" s="0" t="s">
        <v>203</v>
      </c>
      <c r="M16" s="0" t="s">
        <v>204</v>
      </c>
      <c r="N16" s="0" t="s">
        <v>205</v>
      </c>
      <c r="O16" s="6" t="s">
        <v>49</v>
      </c>
      <c r="Q16" s="3"/>
      <c r="R16" s="0" t="s">
        <v>49</v>
      </c>
      <c r="U16" s="0" t="str">
        <f aca="false">"- (2x low complexity)"</f>
        <v>- (2x low complexity)</v>
      </c>
      <c r="V16" s="4" t="s">
        <v>206</v>
      </c>
      <c r="W16" s="0" t="s">
        <v>207</v>
      </c>
    </row>
    <row r="17" customFormat="false" ht="15.75" hidden="false" customHeight="false" outlineLevel="0" collapsed="false">
      <c r="A17" s="0" t="s">
        <v>208</v>
      </c>
      <c r="B17" s="0" t="s">
        <v>209</v>
      </c>
      <c r="C17" s="0" t="s">
        <v>210</v>
      </c>
      <c r="D17" s="0" t="s">
        <v>26</v>
      </c>
      <c r="E17" s="0" t="s">
        <v>27</v>
      </c>
      <c r="F17" s="0" t="s">
        <v>28</v>
      </c>
      <c r="G17" s="0" t="s">
        <v>29</v>
      </c>
      <c r="H17" s="0" t="s">
        <v>30</v>
      </c>
      <c r="I17" s="0" t="s">
        <v>31</v>
      </c>
      <c r="J17" s="0" t="s">
        <v>32</v>
      </c>
      <c r="K17" s="0" t="s">
        <v>33</v>
      </c>
      <c r="L17" s="0" t="s">
        <v>211</v>
      </c>
      <c r="M17" s="0" t="s">
        <v>35</v>
      </c>
      <c r="N17" s="0" t="s">
        <v>212</v>
      </c>
      <c r="O17" s="4" t="s">
        <v>213</v>
      </c>
      <c r="P17" s="5" t="s">
        <v>214</v>
      </c>
      <c r="Q17" s="3" t="str">
        <f aca="false">"10.497"</f>
        <v>10.497</v>
      </c>
      <c r="R17" s="6" t="s">
        <v>37</v>
      </c>
      <c r="U17" s="0" t="s">
        <v>215</v>
      </c>
      <c r="V17" s="4" t="s">
        <v>41</v>
      </c>
      <c r="W17" s="0" t="s">
        <v>42</v>
      </c>
      <c r="X17" s="4" t="s">
        <v>43</v>
      </c>
    </row>
    <row r="18" customFormat="false" ht="15" hidden="false" customHeight="false" outlineLevel="0" collapsed="false">
      <c r="A18" s="0" t="s">
        <v>216</v>
      </c>
      <c r="B18" s="0" t="s">
        <v>217</v>
      </c>
      <c r="C18" s="0" t="s">
        <v>218</v>
      </c>
      <c r="D18" s="0" t="s">
        <v>77</v>
      </c>
      <c r="E18" s="0" t="s">
        <v>27</v>
      </c>
      <c r="F18" s="0" t="s">
        <v>28</v>
      </c>
      <c r="G18" s="0" t="s">
        <v>29</v>
      </c>
      <c r="H18" s="0" t="s">
        <v>30</v>
      </c>
      <c r="I18" s="0" t="s">
        <v>31</v>
      </c>
      <c r="J18" s="0" t="s">
        <v>32</v>
      </c>
      <c r="K18" s="0" t="s">
        <v>33</v>
      </c>
      <c r="L18" s="0" t="s">
        <v>47</v>
      </c>
      <c r="M18" s="0" t="s">
        <v>35</v>
      </c>
      <c r="N18" s="0" t="s">
        <v>48</v>
      </c>
      <c r="O18" s="6" t="s">
        <v>49</v>
      </c>
      <c r="Q18" s="3"/>
      <c r="R18" s="0" t="s">
        <v>49</v>
      </c>
      <c r="U18" s="0" t="s">
        <v>50</v>
      </c>
      <c r="V18" s="4" t="s">
        <v>41</v>
      </c>
      <c r="W18" s="0" t="s">
        <v>42</v>
      </c>
      <c r="X18" s="4" t="s">
        <v>43</v>
      </c>
    </row>
    <row r="19" customFormat="false" ht="15" hidden="false" customHeight="false" outlineLevel="0" collapsed="false">
      <c r="A19" s="0" t="s">
        <v>219</v>
      </c>
      <c r="B19" s="0" t="s">
        <v>220</v>
      </c>
      <c r="C19" s="0" t="s">
        <v>221</v>
      </c>
      <c r="D19" s="0" t="s">
        <v>77</v>
      </c>
      <c r="E19" s="0" t="s">
        <v>159</v>
      </c>
      <c r="F19" s="0" t="s">
        <v>160</v>
      </c>
      <c r="G19" s="0" t="s">
        <v>56</v>
      </c>
      <c r="H19" s="0" t="s">
        <v>57</v>
      </c>
      <c r="I19" s="0" t="s">
        <v>161</v>
      </c>
      <c r="J19" s="0" t="s">
        <v>162</v>
      </c>
      <c r="K19" s="0" t="s">
        <v>222</v>
      </c>
      <c r="L19" s="0" t="s">
        <v>223</v>
      </c>
      <c r="M19" s="0" t="s">
        <v>224</v>
      </c>
      <c r="N19" s="0" t="s">
        <v>225</v>
      </c>
      <c r="O19" s="0" t="s">
        <v>49</v>
      </c>
      <c r="Q19" s="3"/>
      <c r="R19" s="0" t="s">
        <v>49</v>
      </c>
      <c r="U19" s="0" t="s">
        <v>37</v>
      </c>
      <c r="V19" s="4" t="s">
        <v>168</v>
      </c>
      <c r="W19" s="0" t="s">
        <v>169</v>
      </c>
      <c r="X19" s="4" t="s">
        <v>170</v>
      </c>
    </row>
    <row r="20" customFormat="false" ht="30" hidden="false" customHeight="false" outlineLevel="0" collapsed="false">
      <c r="A20" s="0" t="s">
        <v>226</v>
      </c>
      <c r="B20" s="0" t="s">
        <v>227</v>
      </c>
      <c r="C20" s="0" t="s">
        <v>76</v>
      </c>
      <c r="D20" s="0" t="s">
        <v>77</v>
      </c>
      <c r="E20" s="0" t="s">
        <v>78</v>
      </c>
      <c r="F20" s="0" t="s">
        <v>79</v>
      </c>
      <c r="G20" s="0" t="s">
        <v>29</v>
      </c>
      <c r="H20" s="0" t="s">
        <v>57</v>
      </c>
      <c r="I20" s="0" t="s">
        <v>80</v>
      </c>
      <c r="J20" s="0" t="s">
        <v>81</v>
      </c>
      <c r="K20" s="0" t="s">
        <v>33</v>
      </c>
      <c r="L20" s="0" t="s">
        <v>228</v>
      </c>
      <c r="M20" s="0" t="s">
        <v>229</v>
      </c>
      <c r="N20" s="0" t="s">
        <v>230</v>
      </c>
      <c r="O20" s="6" t="s">
        <v>49</v>
      </c>
      <c r="Q20" s="3"/>
      <c r="R20" s="6" t="s">
        <v>49</v>
      </c>
      <c r="U20" s="0" t="s">
        <v>37</v>
      </c>
      <c r="V20" s="4" t="s">
        <v>41</v>
      </c>
      <c r="W20" s="6" t="s">
        <v>88</v>
      </c>
      <c r="X20" s="4" t="s">
        <v>73</v>
      </c>
    </row>
    <row r="21" customFormat="false" ht="15" hidden="false" customHeight="false" outlineLevel="0" collapsed="false">
      <c r="A21" s="0" t="s">
        <v>231</v>
      </c>
      <c r="B21" s="0" t="s">
        <v>232</v>
      </c>
      <c r="C21" s="0" t="s">
        <v>233</v>
      </c>
      <c r="D21" s="0" t="s">
        <v>26</v>
      </c>
      <c r="E21" s="0" t="s">
        <v>159</v>
      </c>
      <c r="F21" s="0" t="s">
        <v>160</v>
      </c>
      <c r="G21" s="0" t="s">
        <v>56</v>
      </c>
      <c r="H21" s="0" t="s">
        <v>57</v>
      </c>
      <c r="I21" s="0" t="s">
        <v>161</v>
      </c>
      <c r="J21" s="0" t="s">
        <v>162</v>
      </c>
      <c r="K21" s="0" t="s">
        <v>234</v>
      </c>
      <c r="L21" s="0" t="s">
        <v>235</v>
      </c>
      <c r="M21" s="0" t="s">
        <v>164</v>
      </c>
      <c r="N21" s="0" t="s">
        <v>236</v>
      </c>
      <c r="O21" s="0" t="s">
        <v>237</v>
      </c>
      <c r="P21" s="0" t="s">
        <v>238</v>
      </c>
      <c r="Q21" s="3" t="str">
        <f aca="false">"127.189"</f>
        <v>127.189</v>
      </c>
      <c r="R21" s="0" t="s">
        <v>37</v>
      </c>
      <c r="U21" s="0" t="str">
        <f aca="false">"- (2x low complexity)"</f>
        <v>- (2x low complexity)</v>
      </c>
      <c r="V21" s="4" t="s">
        <v>168</v>
      </c>
      <c r="W21" s="0" t="s">
        <v>169</v>
      </c>
      <c r="X21" s="4" t="s">
        <v>170</v>
      </c>
    </row>
    <row r="22" customFormat="false" ht="30" hidden="false" customHeight="false" outlineLevel="0" collapsed="false">
      <c r="A22" s="0" t="s">
        <v>239</v>
      </c>
      <c r="B22" s="0" t="s">
        <v>240</v>
      </c>
      <c r="C22" s="0" t="s">
        <v>241</v>
      </c>
      <c r="D22" s="0" t="s">
        <v>26</v>
      </c>
      <c r="E22" s="0" t="s">
        <v>27</v>
      </c>
      <c r="F22" s="0" t="s">
        <v>28</v>
      </c>
      <c r="G22" s="0" t="s">
        <v>29</v>
      </c>
      <c r="H22" s="0" t="s">
        <v>30</v>
      </c>
      <c r="I22" s="0" t="s">
        <v>31</v>
      </c>
      <c r="J22" s="0" t="s">
        <v>32</v>
      </c>
      <c r="K22" s="0" t="s">
        <v>33</v>
      </c>
      <c r="L22" s="0" t="s">
        <v>242</v>
      </c>
      <c r="M22" s="0" t="s">
        <v>35</v>
      </c>
      <c r="N22" s="0" t="s">
        <v>243</v>
      </c>
      <c r="O22" s="6" t="s">
        <v>49</v>
      </c>
      <c r="Q22" s="3"/>
      <c r="R22" s="6" t="s">
        <v>49</v>
      </c>
      <c r="T22" s="6" t="s">
        <v>244</v>
      </c>
      <c r="U22" s="0" t="str">
        <f aca="false">"- (6x low complexity)"</f>
        <v>- (6x low complexity)</v>
      </c>
      <c r="V22" s="4" t="s">
        <v>41</v>
      </c>
      <c r="W22" s="0" t="s">
        <v>42</v>
      </c>
      <c r="X22" s="4" t="s">
        <v>43</v>
      </c>
    </row>
    <row r="23" customFormat="false" ht="45" hidden="false" customHeight="false" outlineLevel="0" collapsed="false">
      <c r="A23" s="0" t="s">
        <v>245</v>
      </c>
      <c r="B23" s="0" t="s">
        <v>246</v>
      </c>
      <c r="C23" s="0" t="s">
        <v>247</v>
      </c>
      <c r="D23" s="0" t="s">
        <v>26</v>
      </c>
      <c r="E23" s="0" t="s">
        <v>248</v>
      </c>
      <c r="F23" s="0" t="s">
        <v>249</v>
      </c>
      <c r="G23" s="0" t="s">
        <v>56</v>
      </c>
      <c r="H23" s="0" t="s">
        <v>57</v>
      </c>
      <c r="I23" s="0" t="s">
        <v>58</v>
      </c>
      <c r="J23" s="0" t="s">
        <v>250</v>
      </c>
      <c r="K23" s="0" t="s">
        <v>60</v>
      </c>
      <c r="L23" s="0" t="s">
        <v>61</v>
      </c>
      <c r="M23" s="0" t="s">
        <v>62</v>
      </c>
      <c r="N23" s="0" t="s">
        <v>63</v>
      </c>
      <c r="O23" s="6" t="s">
        <v>64</v>
      </c>
      <c r="P23" s="6" t="s">
        <v>65</v>
      </c>
      <c r="Q23" s="7" t="s">
        <v>66</v>
      </c>
      <c r="R23" s="6" t="s">
        <v>67</v>
      </c>
      <c r="S23" s="6" t="s">
        <v>68</v>
      </c>
      <c r="T23" s="6" t="s">
        <v>69</v>
      </c>
      <c r="U23" s="0" t="s">
        <v>70</v>
      </c>
      <c r="V23" s="11" t="s">
        <v>251</v>
      </c>
      <c r="W23" s="0" t="s">
        <v>252</v>
      </c>
      <c r="X23" s="4" t="s">
        <v>253</v>
      </c>
    </row>
    <row r="24" customFormat="false" ht="15" hidden="false" customHeight="false" outlineLevel="0" collapsed="false">
      <c r="A24" s="0" t="s">
        <v>254</v>
      </c>
      <c r="B24" s="0" t="s">
        <v>255</v>
      </c>
      <c r="C24" s="0" t="s">
        <v>256</v>
      </c>
      <c r="D24" s="0" t="s">
        <v>26</v>
      </c>
      <c r="E24" s="0" t="s">
        <v>27</v>
      </c>
      <c r="F24" s="0" t="s">
        <v>28</v>
      </c>
      <c r="G24" s="0" t="s">
        <v>29</v>
      </c>
      <c r="H24" s="0" t="s">
        <v>30</v>
      </c>
      <c r="I24" s="0" t="s">
        <v>31</v>
      </c>
      <c r="J24" s="0" t="s">
        <v>32</v>
      </c>
      <c r="K24" s="0" t="s">
        <v>33</v>
      </c>
      <c r="L24" s="0" t="s">
        <v>242</v>
      </c>
      <c r="M24" s="0" t="s">
        <v>35</v>
      </c>
      <c r="N24" s="0" t="s">
        <v>243</v>
      </c>
      <c r="O24" s="6" t="s">
        <v>49</v>
      </c>
      <c r="Q24" s="3"/>
      <c r="R24" s="6" t="s">
        <v>49</v>
      </c>
      <c r="U24" s="0" t="str">
        <f aca="false">"- (6x low complexity)"</f>
        <v>- (6x low complexity)</v>
      </c>
      <c r="V24" s="4" t="s">
        <v>41</v>
      </c>
      <c r="W24" s="0" t="s">
        <v>42</v>
      </c>
      <c r="X24" s="4" t="s">
        <v>43</v>
      </c>
    </row>
    <row r="25" customFormat="false" ht="15.75" hidden="false" customHeight="false" outlineLevel="0" collapsed="false">
      <c r="A25" s="0" t="s">
        <v>257</v>
      </c>
      <c r="B25" s="0" t="s">
        <v>258</v>
      </c>
      <c r="C25" s="0" t="s">
        <v>259</v>
      </c>
      <c r="D25" s="0" t="s">
        <v>26</v>
      </c>
      <c r="E25" s="0" t="s">
        <v>27</v>
      </c>
      <c r="F25" s="0" t="s">
        <v>28</v>
      </c>
      <c r="G25" s="0" t="s">
        <v>29</v>
      </c>
      <c r="H25" s="0" t="s">
        <v>30</v>
      </c>
      <c r="I25" s="0" t="s">
        <v>31</v>
      </c>
      <c r="J25" s="0" t="s">
        <v>32</v>
      </c>
      <c r="K25" s="0" t="s">
        <v>33</v>
      </c>
      <c r="L25" s="0" t="s">
        <v>260</v>
      </c>
      <c r="M25" s="0" t="s">
        <v>35</v>
      </c>
      <c r="N25" s="0" t="s">
        <v>261</v>
      </c>
      <c r="O25" s="6" t="s">
        <v>37</v>
      </c>
      <c r="Q25" s="3"/>
      <c r="R25" s="4" t="s">
        <v>262</v>
      </c>
      <c r="S25" s="5" t="s">
        <v>263</v>
      </c>
      <c r="T25" s="0" t="str">
        <f aca="false">"-1"</f>
        <v>-1</v>
      </c>
      <c r="U25" s="0" t="str">
        <f aca="false">"- (low complexity)"</f>
        <v>- (low complexity)</v>
      </c>
      <c r="V25" s="4" t="s">
        <v>41</v>
      </c>
      <c r="W25" s="0" t="s">
        <v>42</v>
      </c>
      <c r="X25" s="4" t="s">
        <v>43</v>
      </c>
    </row>
    <row r="26" customFormat="false" ht="45" hidden="false" customHeight="false" outlineLevel="0" collapsed="false">
      <c r="A26" s="0" t="s">
        <v>264</v>
      </c>
      <c r="B26" s="0" t="s">
        <v>265</v>
      </c>
      <c r="C26" s="0" t="s">
        <v>266</v>
      </c>
      <c r="D26" s="0" t="s">
        <v>26</v>
      </c>
      <c r="E26" s="0" t="s">
        <v>267</v>
      </c>
      <c r="F26" s="0" t="s">
        <v>268</v>
      </c>
      <c r="G26" s="0" t="s">
        <v>56</v>
      </c>
      <c r="H26" s="0" t="s">
        <v>57</v>
      </c>
      <c r="I26" s="0" t="s">
        <v>269</v>
      </c>
      <c r="J26" s="0" t="s">
        <v>270</v>
      </c>
      <c r="K26" s="0" t="s">
        <v>271</v>
      </c>
      <c r="L26" s="0" t="s">
        <v>272</v>
      </c>
      <c r="M26" s="0" t="s">
        <v>273</v>
      </c>
      <c r="N26" s="0" t="s">
        <v>274</v>
      </c>
      <c r="O26" s="6" t="s">
        <v>64</v>
      </c>
      <c r="P26" s="6" t="s">
        <v>65</v>
      </c>
      <c r="Q26" s="7" t="s">
        <v>275</v>
      </c>
      <c r="R26" s="6" t="s">
        <v>67</v>
      </c>
      <c r="S26" s="6" t="s">
        <v>68</v>
      </c>
      <c r="T26" s="6" t="s">
        <v>69</v>
      </c>
      <c r="U26" s="0" t="s">
        <v>70</v>
      </c>
      <c r="V26" s="4" t="s">
        <v>276</v>
      </c>
      <c r="W26" s="0" t="s">
        <v>277</v>
      </c>
      <c r="X26" s="4" t="s">
        <v>253</v>
      </c>
    </row>
    <row r="27" customFormat="false" ht="45" hidden="false" customHeight="false" outlineLevel="0" collapsed="false">
      <c r="A27" s="4" t="s">
        <v>278</v>
      </c>
      <c r="B27" s="0" t="s">
        <v>265</v>
      </c>
      <c r="C27" s="0" t="s">
        <v>279</v>
      </c>
      <c r="D27" s="0" t="s">
        <v>26</v>
      </c>
      <c r="E27" s="0" t="s">
        <v>267</v>
      </c>
      <c r="F27" s="0" t="s">
        <v>268</v>
      </c>
      <c r="G27" s="0" t="s">
        <v>56</v>
      </c>
      <c r="H27" s="0" t="s">
        <v>57</v>
      </c>
      <c r="I27" s="0" t="s">
        <v>58</v>
      </c>
      <c r="J27" s="0" t="s">
        <v>280</v>
      </c>
      <c r="K27" s="0" t="s">
        <v>115</v>
      </c>
      <c r="L27" s="0" t="s">
        <v>281</v>
      </c>
      <c r="M27" s="0" t="s">
        <v>282</v>
      </c>
      <c r="N27" s="0" t="s">
        <v>283</v>
      </c>
      <c r="O27" s="6" t="s">
        <v>64</v>
      </c>
      <c r="P27" s="6" t="s">
        <v>65</v>
      </c>
      <c r="Q27" s="7" t="s">
        <v>284</v>
      </c>
      <c r="R27" s="6" t="s">
        <v>67</v>
      </c>
      <c r="S27" s="6" t="s">
        <v>68</v>
      </c>
      <c r="T27" s="6" t="s">
        <v>69</v>
      </c>
      <c r="U27" s="0" t="s">
        <v>285</v>
      </c>
      <c r="V27" s="4" t="s">
        <v>276</v>
      </c>
      <c r="W27" s="0" t="s">
        <v>277</v>
      </c>
      <c r="X27" s="4" t="s">
        <v>253</v>
      </c>
    </row>
    <row r="28" customFormat="false" ht="15" hidden="false" customHeight="false" outlineLevel="0" collapsed="false">
      <c r="A28" s="1" t="s">
        <v>286</v>
      </c>
      <c r="B28" s="0" t="s">
        <v>287</v>
      </c>
      <c r="C28" s="0" t="s">
        <v>288</v>
      </c>
      <c r="D28" s="0" t="s">
        <v>26</v>
      </c>
      <c r="E28" s="0" t="s">
        <v>27</v>
      </c>
      <c r="F28" s="0" t="s">
        <v>28</v>
      </c>
      <c r="G28" s="0" t="s">
        <v>29</v>
      </c>
      <c r="H28" s="0" t="s">
        <v>30</v>
      </c>
      <c r="I28" s="0" t="s">
        <v>31</v>
      </c>
      <c r="J28" s="0" t="s">
        <v>32</v>
      </c>
      <c r="K28" s="0" t="s">
        <v>33</v>
      </c>
      <c r="L28" s="0" t="s">
        <v>289</v>
      </c>
      <c r="M28" s="0" t="s">
        <v>290</v>
      </c>
      <c r="N28" s="0" t="s">
        <v>291</v>
      </c>
      <c r="O28" s="6" t="s">
        <v>49</v>
      </c>
      <c r="Q28" s="3"/>
      <c r="R28" s="0" t="s">
        <v>49</v>
      </c>
      <c r="U28" s="0" t="s">
        <v>37</v>
      </c>
      <c r="V28" s="4" t="s">
        <v>41</v>
      </c>
      <c r="W28" s="0" t="s">
        <v>42</v>
      </c>
      <c r="X28" s="4" t="s">
        <v>43</v>
      </c>
    </row>
    <row r="29" customFormat="false" ht="75" hidden="false" customHeight="false" outlineLevel="0" collapsed="false">
      <c r="A29" s="1" t="s">
        <v>292</v>
      </c>
      <c r="B29" s="0" t="s">
        <v>293</v>
      </c>
      <c r="C29" s="0" t="s">
        <v>294</v>
      </c>
      <c r="D29" s="0" t="s">
        <v>26</v>
      </c>
      <c r="E29" s="0" t="s">
        <v>159</v>
      </c>
      <c r="F29" s="0" t="s">
        <v>160</v>
      </c>
      <c r="G29" s="0" t="s">
        <v>56</v>
      </c>
      <c r="H29" s="0" t="s">
        <v>57</v>
      </c>
      <c r="I29" s="0" t="s">
        <v>161</v>
      </c>
      <c r="J29" s="0" t="s">
        <v>162</v>
      </c>
      <c r="K29" s="0" t="s">
        <v>60</v>
      </c>
      <c r="L29" s="0" t="s">
        <v>188</v>
      </c>
      <c r="M29" s="0" t="s">
        <v>62</v>
      </c>
      <c r="N29" s="0" t="s">
        <v>189</v>
      </c>
      <c r="O29" s="11" t="s">
        <v>190</v>
      </c>
      <c r="P29" s="6" t="s">
        <v>191</v>
      </c>
      <c r="Q29" s="7" t="s">
        <v>192</v>
      </c>
      <c r="R29" s="6" t="s">
        <v>193</v>
      </c>
      <c r="S29" s="6" t="s">
        <v>194</v>
      </c>
      <c r="T29" s="6" t="s">
        <v>87</v>
      </c>
      <c r="U29" s="0" t="s">
        <v>195</v>
      </c>
      <c r="V29" s="4" t="s">
        <v>168</v>
      </c>
      <c r="W29" s="0" t="s">
        <v>169</v>
      </c>
      <c r="X29" s="4" t="s">
        <v>170</v>
      </c>
    </row>
    <row r="30" customFormat="false" ht="13.5" hidden="false" customHeight="true" outlineLevel="0" collapsed="false">
      <c r="A30" s="1" t="s">
        <v>295</v>
      </c>
      <c r="B30" s="1" t="s">
        <v>296</v>
      </c>
      <c r="C30" s="0" t="s">
        <v>297</v>
      </c>
      <c r="D30" s="0" t="s">
        <v>26</v>
      </c>
      <c r="E30" s="0" t="s">
        <v>298</v>
      </c>
      <c r="F30" s="0" t="s">
        <v>299</v>
      </c>
      <c r="G30" s="0" t="s">
        <v>300</v>
      </c>
      <c r="H30" s="0" t="s">
        <v>301</v>
      </c>
      <c r="I30" s="0" t="s">
        <v>302</v>
      </c>
      <c r="J30" s="0" t="s">
        <v>303</v>
      </c>
      <c r="K30" s="0" t="s">
        <v>304</v>
      </c>
      <c r="L30" s="0" t="s">
        <v>305</v>
      </c>
      <c r="M30" s="0" t="s">
        <v>164</v>
      </c>
      <c r="N30" s="0" t="s">
        <v>306</v>
      </c>
      <c r="O30" s="0" t="s">
        <v>307</v>
      </c>
      <c r="U30" s="0" t="s">
        <v>308</v>
      </c>
      <c r="V30" s="0" t="s">
        <v>309</v>
      </c>
      <c r="W30" s="0" t="s">
        <v>310</v>
      </c>
      <c r="X30" s="4" t="s">
        <v>311</v>
      </c>
    </row>
    <row r="31" customFormat="false" ht="15" hidden="false" customHeight="false" outlineLevel="0" collapsed="false">
      <c r="A31" s="1" t="s">
        <v>312</v>
      </c>
      <c r="B31" s="1" t="s">
        <v>313</v>
      </c>
      <c r="C31" s="0" t="s">
        <v>314</v>
      </c>
      <c r="D31" s="0" t="s">
        <v>26</v>
      </c>
      <c r="E31" s="0" t="s">
        <v>315</v>
      </c>
      <c r="F31" s="0" t="s">
        <v>316</v>
      </c>
      <c r="G31" s="0" t="s">
        <v>29</v>
      </c>
      <c r="H31" s="0" t="s">
        <v>301</v>
      </c>
      <c r="I31" s="0" t="s">
        <v>317</v>
      </c>
      <c r="J31" s="0" t="s">
        <v>318</v>
      </c>
      <c r="K31" s="0" t="s">
        <v>319</v>
      </c>
      <c r="L31" s="0" t="s">
        <v>320</v>
      </c>
      <c r="M31" s="0" t="s">
        <v>147</v>
      </c>
      <c r="N31" s="0" t="s">
        <v>321</v>
      </c>
      <c r="O31" s="0" t="s">
        <v>307</v>
      </c>
      <c r="U31" s="0" t="s">
        <v>308</v>
      </c>
      <c r="V31" s="4" t="s">
        <v>322</v>
      </c>
      <c r="W31" s="0" t="s">
        <v>323</v>
      </c>
      <c r="X31" s="4" t="s">
        <v>324</v>
      </c>
    </row>
    <row r="32" customFormat="false" ht="15" hidden="false" customHeight="false" outlineLevel="0" collapsed="false">
      <c r="A32" s="1" t="s">
        <v>325</v>
      </c>
      <c r="B32" s="1" t="s">
        <v>326</v>
      </c>
      <c r="C32" s="0" t="s">
        <v>327</v>
      </c>
      <c r="D32" s="0" t="s">
        <v>26</v>
      </c>
      <c r="E32" s="0" t="s">
        <v>315</v>
      </c>
      <c r="F32" s="0" t="s">
        <v>328</v>
      </c>
      <c r="G32" s="0" t="s">
        <v>300</v>
      </c>
      <c r="H32" s="0" t="s">
        <v>301</v>
      </c>
      <c r="I32" s="0" t="s">
        <v>162</v>
      </c>
      <c r="J32" s="0" t="s">
        <v>329</v>
      </c>
      <c r="K32" s="13" t="s">
        <v>330</v>
      </c>
      <c r="L32" s="0" t="s">
        <v>331</v>
      </c>
      <c r="M32" s="0" t="s">
        <v>62</v>
      </c>
      <c r="N32" s="0" t="s">
        <v>332</v>
      </c>
      <c r="O32" s="0" t="s">
        <v>307</v>
      </c>
      <c r="U32" s="0" t="s">
        <v>333</v>
      </c>
      <c r="V32" s="0" t="s">
        <v>334</v>
      </c>
      <c r="W32" s="0" t="s">
        <v>335</v>
      </c>
      <c r="X32" s="4" t="s">
        <v>336</v>
      </c>
    </row>
    <row r="33" customFormat="false" ht="15" hidden="false" customHeight="false" outlineLevel="0" collapsed="false">
      <c r="A33" s="1" t="s">
        <v>337</v>
      </c>
      <c r="B33" s="1" t="s">
        <v>338</v>
      </c>
      <c r="C33" s="0" t="s">
        <v>339</v>
      </c>
      <c r="D33" s="0" t="s">
        <v>26</v>
      </c>
      <c r="E33" s="0" t="s">
        <v>315</v>
      </c>
      <c r="F33" s="0" t="s">
        <v>328</v>
      </c>
      <c r="G33" s="0" t="s">
        <v>300</v>
      </c>
      <c r="H33" s="0" t="s">
        <v>301</v>
      </c>
      <c r="I33" s="0" t="s">
        <v>162</v>
      </c>
      <c r="J33" s="0" t="s">
        <v>329</v>
      </c>
      <c r="K33" s="13" t="s">
        <v>330</v>
      </c>
      <c r="L33" s="0" t="s">
        <v>331</v>
      </c>
      <c r="M33" s="0" t="s">
        <v>62</v>
      </c>
      <c r="N33" s="0" t="s">
        <v>332</v>
      </c>
      <c r="O33" s="0" t="s">
        <v>307</v>
      </c>
      <c r="U33" s="0" t="s">
        <v>333</v>
      </c>
      <c r="V33" s="0" t="s">
        <v>334</v>
      </c>
      <c r="W33" s="0" t="s">
        <v>335</v>
      </c>
      <c r="X33" s="4" t="s">
        <v>336</v>
      </c>
    </row>
    <row r="34" customFormat="false" ht="15" hidden="false" customHeight="false" outlineLevel="0" collapsed="false">
      <c r="A34" s="1" t="s">
        <v>340</v>
      </c>
      <c r="B34" s="1" t="s">
        <v>341</v>
      </c>
      <c r="C34" s="0" t="s">
        <v>342</v>
      </c>
      <c r="D34" s="0" t="s">
        <v>26</v>
      </c>
      <c r="E34" s="0" t="s">
        <v>343</v>
      </c>
      <c r="F34" s="0" t="s">
        <v>344</v>
      </c>
      <c r="G34" s="0" t="s">
        <v>300</v>
      </c>
      <c r="H34" s="0" t="s">
        <v>301</v>
      </c>
      <c r="I34" s="0" t="s">
        <v>345</v>
      </c>
      <c r="J34" s="0" t="s">
        <v>346</v>
      </c>
      <c r="K34" s="0" t="s">
        <v>347</v>
      </c>
      <c r="L34" s="0" t="s">
        <v>348</v>
      </c>
      <c r="M34" s="0" t="s">
        <v>164</v>
      </c>
      <c r="N34" s="0" t="s">
        <v>349</v>
      </c>
      <c r="R34" s="0" t="s">
        <v>350</v>
      </c>
      <c r="S34" s="0" t="s">
        <v>351</v>
      </c>
      <c r="T34" s="0" t="n">
        <v>0</v>
      </c>
      <c r="U34" s="0" t="s">
        <v>352</v>
      </c>
      <c r="V34" s="0" t="s">
        <v>353</v>
      </c>
      <c r="W34" s="0" t="s">
        <v>354</v>
      </c>
      <c r="X34" s="4" t="s">
        <v>355</v>
      </c>
    </row>
    <row r="35" customFormat="false" ht="15" hidden="false" customHeight="false" outlineLevel="0" collapsed="false">
      <c r="A35" s="1" t="s">
        <v>356</v>
      </c>
      <c r="B35" s="1" t="s">
        <v>357</v>
      </c>
      <c r="C35" s="0" t="s">
        <v>358</v>
      </c>
      <c r="D35" s="0" t="s">
        <v>26</v>
      </c>
      <c r="E35" s="0" t="s">
        <v>359</v>
      </c>
      <c r="F35" s="0" t="s">
        <v>360</v>
      </c>
      <c r="G35" s="0" t="s">
        <v>300</v>
      </c>
      <c r="H35" s="0" t="s">
        <v>301</v>
      </c>
      <c r="I35" s="0" t="s">
        <v>361</v>
      </c>
      <c r="J35" s="0" t="s">
        <v>362</v>
      </c>
      <c r="K35" s="0" t="s">
        <v>347</v>
      </c>
      <c r="L35" s="0" t="s">
        <v>348</v>
      </c>
      <c r="M35" s="0" t="s">
        <v>164</v>
      </c>
      <c r="N35" s="0" t="s">
        <v>349</v>
      </c>
      <c r="R35" s="0" t="s">
        <v>350</v>
      </c>
      <c r="S35" s="0" t="s">
        <v>351</v>
      </c>
      <c r="T35" s="0" t="n">
        <v>0</v>
      </c>
      <c r="U35" s="0" t="s">
        <v>352</v>
      </c>
      <c r="V35" s="0" t="s">
        <v>363</v>
      </c>
      <c r="W35" s="0" t="s">
        <v>364</v>
      </c>
      <c r="X35" s="4" t="s">
        <v>365</v>
      </c>
    </row>
    <row r="36" customFormat="false" ht="15" hidden="false" customHeight="false" outlineLevel="0" collapsed="false">
      <c r="A36" s="1" t="s">
        <v>366</v>
      </c>
      <c r="B36" s="1" t="s">
        <v>367</v>
      </c>
      <c r="C36" s="0" t="s">
        <v>368</v>
      </c>
      <c r="D36" s="0" t="s">
        <v>26</v>
      </c>
      <c r="E36" s="0" t="s">
        <v>369</v>
      </c>
      <c r="F36" s="0" t="s">
        <v>370</v>
      </c>
      <c r="G36" s="0" t="s">
        <v>300</v>
      </c>
      <c r="I36" s="0" t="s">
        <v>371</v>
      </c>
      <c r="J36" s="0" t="s">
        <v>372</v>
      </c>
      <c r="K36" s="0" t="s">
        <v>373</v>
      </c>
      <c r="L36" s="0" t="s">
        <v>374</v>
      </c>
      <c r="M36" s="0" t="s">
        <v>62</v>
      </c>
      <c r="N36" s="0" t="s">
        <v>375</v>
      </c>
      <c r="O36" s="0" t="s">
        <v>376</v>
      </c>
      <c r="U36" s="0" t="s">
        <v>333</v>
      </c>
      <c r="V36" s="6" t="s">
        <v>377</v>
      </c>
      <c r="W36" s="0" t="s">
        <v>378</v>
      </c>
      <c r="X36" s="4" t="s">
        <v>379</v>
      </c>
    </row>
    <row r="37" customFormat="false" ht="15" hidden="false" customHeight="false" outlineLevel="0" collapsed="false">
      <c r="A37" s="1" t="s">
        <v>380</v>
      </c>
      <c r="B37" s="1" t="s">
        <v>381</v>
      </c>
      <c r="C37" s="0" t="s">
        <v>382</v>
      </c>
      <c r="D37" s="0" t="s">
        <v>26</v>
      </c>
      <c r="E37" s="0" t="s">
        <v>383</v>
      </c>
      <c r="F37" s="0" t="s">
        <v>384</v>
      </c>
      <c r="G37" s="0" t="s">
        <v>300</v>
      </c>
      <c r="I37" s="0" t="s">
        <v>385</v>
      </c>
      <c r="J37" s="0" t="s">
        <v>386</v>
      </c>
      <c r="K37" s="13" t="s">
        <v>330</v>
      </c>
      <c r="L37" s="0" t="s">
        <v>387</v>
      </c>
      <c r="M37" s="0" t="s">
        <v>290</v>
      </c>
      <c r="N37" s="0" t="s">
        <v>388</v>
      </c>
      <c r="R37" s="0" t="s">
        <v>389</v>
      </c>
      <c r="S37" s="0" t="s">
        <v>390</v>
      </c>
      <c r="T37" s="0" t="n">
        <v>0</v>
      </c>
      <c r="U37" s="0" t="str">
        <f aca="false">"- (2x low complexity)"</f>
        <v>- (2x low complexity)</v>
      </c>
      <c r="V37" s="0" t="s">
        <v>140</v>
      </c>
      <c r="W37" s="0" t="s">
        <v>141</v>
      </c>
      <c r="X37" s="4" t="s">
        <v>391</v>
      </c>
    </row>
    <row r="38" customFormat="false" ht="15" hidden="false" customHeight="false" outlineLevel="0" collapsed="false">
      <c r="A38" s="1" t="s">
        <v>392</v>
      </c>
      <c r="B38" s="1" t="s">
        <v>393</v>
      </c>
      <c r="C38" s="0" t="s">
        <v>394</v>
      </c>
      <c r="D38" s="0" t="s">
        <v>26</v>
      </c>
      <c r="E38" s="0" t="s">
        <v>359</v>
      </c>
      <c r="F38" s="0" t="s">
        <v>360</v>
      </c>
      <c r="G38" s="0" t="s">
        <v>300</v>
      </c>
      <c r="H38" s="0" t="s">
        <v>301</v>
      </c>
      <c r="I38" s="0" t="s">
        <v>395</v>
      </c>
      <c r="J38" s="0" t="s">
        <v>362</v>
      </c>
      <c r="K38" s="0" t="s">
        <v>396</v>
      </c>
      <c r="L38" s="0" t="s">
        <v>397</v>
      </c>
      <c r="M38" s="0" t="s">
        <v>164</v>
      </c>
      <c r="N38" s="0" t="s">
        <v>398</v>
      </c>
      <c r="R38" s="6" t="s">
        <v>399</v>
      </c>
      <c r="S38" s="6" t="s">
        <v>400</v>
      </c>
      <c r="T38" s="0" t="n">
        <v>0</v>
      </c>
      <c r="U38" s="0" t="str">
        <f aca="false">"- (2x low complexity)"</f>
        <v>- (2x low complexity)</v>
      </c>
      <c r="V38" s="0" t="s">
        <v>363</v>
      </c>
      <c r="W38" s="0" t="s">
        <v>364</v>
      </c>
      <c r="X38" s="4" t="s">
        <v>365</v>
      </c>
    </row>
    <row r="39" customFormat="false" ht="15" hidden="false" customHeight="false" outlineLevel="0" collapsed="false">
      <c r="A39" s="1" t="s">
        <v>401</v>
      </c>
      <c r="B39" s="1" t="s">
        <v>402</v>
      </c>
      <c r="C39" s="0" t="s">
        <v>403</v>
      </c>
      <c r="D39" s="0" t="s">
        <v>26</v>
      </c>
      <c r="E39" s="0" t="s">
        <v>343</v>
      </c>
      <c r="F39" s="0" t="s">
        <v>344</v>
      </c>
      <c r="G39" s="0" t="s">
        <v>300</v>
      </c>
      <c r="H39" s="0" t="s">
        <v>301</v>
      </c>
      <c r="I39" s="0" t="s">
        <v>404</v>
      </c>
      <c r="J39" s="0" t="s">
        <v>405</v>
      </c>
      <c r="K39" s="0" t="s">
        <v>347</v>
      </c>
      <c r="L39" s="0" t="s">
        <v>406</v>
      </c>
      <c r="M39" s="0" t="s">
        <v>62</v>
      </c>
      <c r="N39" s="0" t="s">
        <v>407</v>
      </c>
      <c r="R39" s="0" t="s">
        <v>408</v>
      </c>
      <c r="S39" s="0" t="s">
        <v>409</v>
      </c>
      <c r="U39" s="0" t="s">
        <v>352</v>
      </c>
      <c r="X39" s="4" t="s">
        <v>355</v>
      </c>
    </row>
    <row r="40" customFormat="false" ht="15" hidden="false" customHeight="false" outlineLevel="0" collapsed="false">
      <c r="A40" s="1" t="s">
        <v>410</v>
      </c>
      <c r="B40" s="1" t="s">
        <v>411</v>
      </c>
      <c r="C40" s="0" t="s">
        <v>412</v>
      </c>
      <c r="D40" s="0" t="s">
        <v>26</v>
      </c>
      <c r="E40" s="0" t="s">
        <v>413</v>
      </c>
      <c r="F40" s="0" t="s">
        <v>414</v>
      </c>
      <c r="G40" s="0" t="s">
        <v>300</v>
      </c>
      <c r="H40" s="0" t="s">
        <v>301</v>
      </c>
      <c r="I40" s="0" t="s">
        <v>415</v>
      </c>
      <c r="J40" s="0" t="s">
        <v>416</v>
      </c>
      <c r="K40" s="0" t="s">
        <v>347</v>
      </c>
      <c r="L40" s="0" t="s">
        <v>417</v>
      </c>
      <c r="M40" s="0" t="s">
        <v>418</v>
      </c>
      <c r="N40" s="0" t="s">
        <v>419</v>
      </c>
      <c r="O40" s="0" t="s">
        <v>307</v>
      </c>
      <c r="U40" s="0" t="s">
        <v>333</v>
      </c>
      <c r="V40" s="0" t="s">
        <v>420</v>
      </c>
      <c r="W40" s="0" t="s">
        <v>421</v>
      </c>
      <c r="X40" s="4" t="s">
        <v>422</v>
      </c>
    </row>
    <row r="41" customFormat="false" ht="15.75" hidden="false" customHeight="false" outlineLevel="0" collapsed="false">
      <c r="A41" s="1" t="s">
        <v>423</v>
      </c>
      <c r="B41" s="1" t="s">
        <v>424</v>
      </c>
      <c r="C41" s="0" t="s">
        <v>425</v>
      </c>
      <c r="D41" s="0" t="s">
        <v>26</v>
      </c>
      <c r="E41" s="0" t="s">
        <v>426</v>
      </c>
      <c r="F41" s="0" t="s">
        <v>427</v>
      </c>
      <c r="G41" s="0" t="s">
        <v>300</v>
      </c>
      <c r="H41" s="0" t="s">
        <v>301</v>
      </c>
      <c r="I41" s="0" t="s">
        <v>428</v>
      </c>
      <c r="J41" s="0" t="s">
        <v>429</v>
      </c>
      <c r="K41" s="13" t="s">
        <v>330</v>
      </c>
      <c r="L41" s="0" t="s">
        <v>430</v>
      </c>
      <c r="M41" s="0" t="s">
        <v>62</v>
      </c>
      <c r="N41" s="0" t="s">
        <v>431</v>
      </c>
      <c r="R41" s="6" t="s">
        <v>432</v>
      </c>
      <c r="S41" s="6" t="s">
        <v>433</v>
      </c>
      <c r="T41" s="0" t="n">
        <v>0</v>
      </c>
      <c r="U41" s="0" t="s">
        <v>434</v>
      </c>
      <c r="V41" s="0" t="s">
        <v>435</v>
      </c>
      <c r="W41" s="0" t="s">
        <v>436</v>
      </c>
      <c r="X41" s="4" t="s">
        <v>437</v>
      </c>
    </row>
    <row r="42" customFormat="false" ht="15.75" hidden="false" customHeight="false" outlineLevel="0" collapsed="false">
      <c r="A42" s="1" t="s">
        <v>438</v>
      </c>
      <c r="B42" s="1" t="s">
        <v>439</v>
      </c>
      <c r="C42" s="0" t="s">
        <v>440</v>
      </c>
      <c r="D42" s="0" t="s">
        <v>26</v>
      </c>
      <c r="E42" s="0" t="s">
        <v>441</v>
      </c>
      <c r="F42" s="0" t="s">
        <v>442</v>
      </c>
      <c r="G42" s="0" t="s">
        <v>300</v>
      </c>
      <c r="H42" s="0" t="s">
        <v>301</v>
      </c>
      <c r="I42" s="0" t="s">
        <v>443</v>
      </c>
      <c r="J42" s="0" t="s">
        <v>444</v>
      </c>
      <c r="K42" s="0" t="s">
        <v>445</v>
      </c>
      <c r="L42" s="0" t="s">
        <v>446</v>
      </c>
      <c r="M42" s="0" t="s">
        <v>62</v>
      </c>
      <c r="N42" s="0" t="s">
        <v>447</v>
      </c>
      <c r="O42" s="0" t="s">
        <v>448</v>
      </c>
      <c r="P42" s="0" t="s">
        <v>449</v>
      </c>
      <c r="Q42" s="0" t="n">
        <v>68892</v>
      </c>
      <c r="R42" s="0" t="s">
        <v>450</v>
      </c>
      <c r="S42" s="0" t="s">
        <v>451</v>
      </c>
      <c r="T42" s="0" t="n">
        <v>0</v>
      </c>
      <c r="U42" s="0" t="str">
        <f aca="false">"- (2x low complexity)"</f>
        <v>- (2x low complexity)</v>
      </c>
      <c r="V42" s="0" t="s">
        <v>452</v>
      </c>
      <c r="W42" s="0" t="s">
        <v>453</v>
      </c>
      <c r="X42" s="4" t="s">
        <v>454</v>
      </c>
    </row>
    <row r="43" customFormat="false" ht="15" hidden="false" customHeight="false" outlineLevel="0" collapsed="false">
      <c r="A43" s="1" t="s">
        <v>455</v>
      </c>
      <c r="B43" s="1" t="s">
        <v>456</v>
      </c>
      <c r="C43" s="0" t="s">
        <v>457</v>
      </c>
      <c r="D43" s="0" t="s">
        <v>77</v>
      </c>
      <c r="E43" s="0" t="s">
        <v>458</v>
      </c>
      <c r="F43" s="0" t="s">
        <v>459</v>
      </c>
      <c r="G43" s="0" t="s">
        <v>300</v>
      </c>
      <c r="H43" s="0" t="s">
        <v>301</v>
      </c>
      <c r="I43" s="0" t="s">
        <v>460</v>
      </c>
      <c r="J43" s="0" t="s">
        <v>461</v>
      </c>
      <c r="K43" s="0" t="s">
        <v>462</v>
      </c>
      <c r="L43" s="0" t="s">
        <v>463</v>
      </c>
      <c r="M43" s="0" t="s">
        <v>464</v>
      </c>
      <c r="N43" s="0" t="s">
        <v>465</v>
      </c>
      <c r="O43" s="0" t="s">
        <v>307</v>
      </c>
      <c r="U43" s="0" t="str">
        <f aca="false">"- (2x low complexity)"</f>
        <v>- (2x low complexity)</v>
      </c>
      <c r="V43" s="0" t="s">
        <v>466</v>
      </c>
      <c r="W43" s="0" t="s">
        <v>467</v>
      </c>
      <c r="X43" s="4" t="s">
        <v>468</v>
      </c>
    </row>
    <row r="44" customFormat="false" ht="15" hidden="false" customHeight="false" outlineLevel="0" collapsed="false">
      <c r="A44" s="1" t="s">
        <v>469</v>
      </c>
      <c r="B44" s="1" t="s">
        <v>470</v>
      </c>
      <c r="C44" s="0" t="s">
        <v>471</v>
      </c>
      <c r="D44" s="0" t="s">
        <v>77</v>
      </c>
      <c r="E44" s="0" t="s">
        <v>472</v>
      </c>
      <c r="F44" s="0" t="s">
        <v>93</v>
      </c>
      <c r="G44" s="0" t="s">
        <v>300</v>
      </c>
      <c r="I44" s="0" t="s">
        <v>95</v>
      </c>
      <c r="J44" s="0" t="s">
        <v>473</v>
      </c>
      <c r="K44" s="0" t="s">
        <v>304</v>
      </c>
      <c r="L44" s="0" t="s">
        <v>474</v>
      </c>
      <c r="M44" s="0" t="s">
        <v>98</v>
      </c>
      <c r="N44" s="0" t="s">
        <v>475</v>
      </c>
      <c r="O44" s="0" t="s">
        <v>307</v>
      </c>
      <c r="U44" s="0" t="s">
        <v>37</v>
      </c>
      <c r="V44" s="0" t="s">
        <v>100</v>
      </c>
      <c r="W44" s="0" t="s">
        <v>101</v>
      </c>
      <c r="X44" s="4" t="s">
        <v>102</v>
      </c>
    </row>
    <row r="45" customFormat="false" ht="15" hidden="false" customHeight="false" outlineLevel="0" collapsed="false">
      <c r="A45" s="1" t="s">
        <v>476</v>
      </c>
      <c r="B45" s="1" t="s">
        <v>477</v>
      </c>
      <c r="C45" s="0" t="s">
        <v>478</v>
      </c>
      <c r="D45" s="0" t="s">
        <v>77</v>
      </c>
      <c r="E45" s="0" t="s">
        <v>479</v>
      </c>
      <c r="F45" s="0" t="s">
        <v>328</v>
      </c>
      <c r="G45" s="0" t="s">
        <v>300</v>
      </c>
      <c r="I45" s="0" t="s">
        <v>162</v>
      </c>
      <c r="J45" s="0" t="s">
        <v>480</v>
      </c>
      <c r="K45" s="13" t="s">
        <v>330</v>
      </c>
      <c r="L45" s="0" t="s">
        <v>481</v>
      </c>
      <c r="M45" s="0" t="s">
        <v>482</v>
      </c>
      <c r="N45" s="0" t="s">
        <v>483</v>
      </c>
      <c r="O45" s="0" t="s">
        <v>307</v>
      </c>
      <c r="U45" s="0" t="str">
        <f aca="false">"- (2x low complexity)"</f>
        <v>- (2x low complexity)</v>
      </c>
      <c r="V45" s="0" t="s">
        <v>484</v>
      </c>
      <c r="W45" s="0" t="s">
        <v>485</v>
      </c>
      <c r="X45" s="4" t="s">
        <v>336</v>
      </c>
    </row>
    <row r="46" customFormat="false" ht="15" hidden="false" customHeight="false" outlineLevel="0" collapsed="false">
      <c r="A46" s="1" t="s">
        <v>486</v>
      </c>
      <c r="B46" s="1" t="s">
        <v>487</v>
      </c>
      <c r="C46" s="0" t="s">
        <v>488</v>
      </c>
      <c r="D46" s="0" t="s">
        <v>77</v>
      </c>
      <c r="E46" s="0" t="s">
        <v>441</v>
      </c>
      <c r="F46" s="0" t="s">
        <v>442</v>
      </c>
      <c r="G46" s="0" t="s">
        <v>300</v>
      </c>
      <c r="H46" s="0" t="s">
        <v>301</v>
      </c>
      <c r="I46" s="0" t="s">
        <v>443</v>
      </c>
      <c r="J46" s="0" t="s">
        <v>444</v>
      </c>
      <c r="K46" s="0" t="s">
        <v>445</v>
      </c>
      <c r="L46" s="0" t="s">
        <v>489</v>
      </c>
      <c r="M46" s="0" t="s">
        <v>164</v>
      </c>
      <c r="N46" s="0" t="s">
        <v>490</v>
      </c>
      <c r="O46" s="0" t="s">
        <v>307</v>
      </c>
      <c r="U46" s="0" t="s">
        <v>352</v>
      </c>
      <c r="V46" s="0" t="s">
        <v>452</v>
      </c>
      <c r="W46" s="0" t="s">
        <v>453</v>
      </c>
      <c r="X46" s="4" t="s">
        <v>454</v>
      </c>
    </row>
    <row r="47" customFormat="false" ht="15" hidden="false" customHeight="false" outlineLevel="0" collapsed="false">
      <c r="A47" s="1" t="s">
        <v>491</v>
      </c>
      <c r="B47" s="1" t="s">
        <v>492</v>
      </c>
      <c r="C47" s="0" t="s">
        <v>493</v>
      </c>
      <c r="D47" s="0" t="s">
        <v>77</v>
      </c>
      <c r="E47" s="0" t="s">
        <v>494</v>
      </c>
      <c r="F47" s="0" t="s">
        <v>495</v>
      </c>
      <c r="G47" s="0" t="s">
        <v>300</v>
      </c>
      <c r="H47" s="0" t="s">
        <v>301</v>
      </c>
      <c r="I47" s="0" t="s">
        <v>496</v>
      </c>
      <c r="J47" s="0" t="s">
        <v>497</v>
      </c>
      <c r="K47" s="0" t="s">
        <v>462</v>
      </c>
      <c r="L47" s="0" t="s">
        <v>498</v>
      </c>
      <c r="M47" s="0" t="s">
        <v>62</v>
      </c>
      <c r="N47" s="0" t="s">
        <v>499</v>
      </c>
      <c r="O47" s="0" t="s">
        <v>307</v>
      </c>
      <c r="U47" s="0" t="s">
        <v>352</v>
      </c>
      <c r="V47" s="0" t="s">
        <v>500</v>
      </c>
      <c r="W47" s="0" t="s">
        <v>501</v>
      </c>
      <c r="X47" s="4" t="s">
        <v>502</v>
      </c>
    </row>
    <row r="48" customFormat="false" ht="15" hidden="false" customHeight="false" outlineLevel="0" collapsed="false">
      <c r="A48" s="1" t="s">
        <v>503</v>
      </c>
      <c r="B48" s="1" t="s">
        <v>504</v>
      </c>
      <c r="C48" s="0" t="s">
        <v>505</v>
      </c>
      <c r="D48" s="0" t="s">
        <v>77</v>
      </c>
      <c r="E48" s="0" t="s">
        <v>494</v>
      </c>
      <c r="F48" s="0" t="s">
        <v>495</v>
      </c>
      <c r="G48" s="0" t="s">
        <v>300</v>
      </c>
      <c r="H48" s="0" t="s">
        <v>301</v>
      </c>
      <c r="I48" s="0" t="s">
        <v>496</v>
      </c>
      <c r="J48" s="0" t="s">
        <v>497</v>
      </c>
      <c r="K48" s="0" t="s">
        <v>462</v>
      </c>
      <c r="L48" s="0" t="s">
        <v>506</v>
      </c>
      <c r="M48" s="0" t="s">
        <v>507</v>
      </c>
      <c r="N48" s="0" t="s">
        <v>508</v>
      </c>
      <c r="O48" s="0" t="s">
        <v>307</v>
      </c>
      <c r="U48" s="0" t="s">
        <v>333</v>
      </c>
      <c r="V48" s="0" t="s">
        <v>500</v>
      </c>
      <c r="W48" s="0" t="s">
        <v>501</v>
      </c>
      <c r="X48" s="4" t="s">
        <v>502</v>
      </c>
    </row>
    <row r="49" customFormat="false" ht="15.75" hidden="false" customHeight="false" outlineLevel="0" collapsed="false">
      <c r="A49" s="4" t="s">
        <v>509</v>
      </c>
      <c r="B49" s="1" t="s">
        <v>510</v>
      </c>
      <c r="C49" s="0" t="s">
        <v>511</v>
      </c>
      <c r="D49" s="0" t="s">
        <v>77</v>
      </c>
      <c r="E49" s="0" t="s">
        <v>441</v>
      </c>
      <c r="F49" s="0" t="s">
        <v>442</v>
      </c>
      <c r="G49" s="0" t="s">
        <v>300</v>
      </c>
      <c r="H49" s="0" t="s">
        <v>301</v>
      </c>
      <c r="I49" s="0" t="s">
        <v>443</v>
      </c>
      <c r="J49" s="0" t="s">
        <v>444</v>
      </c>
      <c r="K49" s="0" t="s">
        <v>445</v>
      </c>
      <c r="L49" s="0" t="s">
        <v>512</v>
      </c>
      <c r="M49" s="0" t="s">
        <v>62</v>
      </c>
      <c r="N49" s="0" t="s">
        <v>513</v>
      </c>
      <c r="R49" s="0" t="s">
        <v>514</v>
      </c>
      <c r="S49" s="0" t="s">
        <v>515</v>
      </c>
      <c r="T49" s="0" t="n">
        <v>0</v>
      </c>
      <c r="U49" s="0" t="s">
        <v>333</v>
      </c>
      <c r="V49" s="0" t="s">
        <v>452</v>
      </c>
      <c r="W49" s="0" t="s">
        <v>453</v>
      </c>
      <c r="X49" s="4" t="s">
        <v>454</v>
      </c>
    </row>
    <row r="50" customFormat="false" ht="15" hidden="false" customHeight="false" outlineLevel="0" collapsed="false">
      <c r="A50" s="1" t="s">
        <v>516</v>
      </c>
      <c r="B50" s="1" t="s">
        <v>517</v>
      </c>
      <c r="C50" s="0" t="s">
        <v>518</v>
      </c>
      <c r="D50" s="0" t="s">
        <v>77</v>
      </c>
      <c r="E50" s="0" t="s">
        <v>519</v>
      </c>
      <c r="F50" s="0" t="s">
        <v>520</v>
      </c>
      <c r="G50" s="0" t="s">
        <v>300</v>
      </c>
      <c r="H50" s="0" t="s">
        <v>301</v>
      </c>
      <c r="I50" s="0" t="s">
        <v>521</v>
      </c>
      <c r="J50" s="0" t="s">
        <v>522</v>
      </c>
      <c r="K50" s="0" t="s">
        <v>462</v>
      </c>
      <c r="L50" s="0" t="s">
        <v>523</v>
      </c>
      <c r="M50" s="0" t="s">
        <v>524</v>
      </c>
      <c r="N50" s="0" t="s">
        <v>525</v>
      </c>
      <c r="O50" s="0" t="s">
        <v>307</v>
      </c>
      <c r="U50" s="0" t="s">
        <v>352</v>
      </c>
      <c r="V50" s="0" t="s">
        <v>526</v>
      </c>
      <c r="W50" s="0" t="s">
        <v>527</v>
      </c>
      <c r="X50" s="4" t="s">
        <v>528</v>
      </c>
    </row>
    <row r="51" customFormat="false" ht="15.75" hidden="false" customHeight="false" outlineLevel="0" collapsed="false">
      <c r="A51" s="1" t="s">
        <v>529</v>
      </c>
      <c r="B51" s="1" t="s">
        <v>530</v>
      </c>
      <c r="C51" s="0" t="s">
        <v>531</v>
      </c>
      <c r="D51" s="0" t="s">
        <v>77</v>
      </c>
      <c r="E51" s="0" t="s">
        <v>532</v>
      </c>
      <c r="F51" s="0" t="s">
        <v>533</v>
      </c>
      <c r="G51" s="0" t="s">
        <v>300</v>
      </c>
      <c r="H51" s="0" t="s">
        <v>301</v>
      </c>
      <c r="I51" s="0" t="s">
        <v>534</v>
      </c>
      <c r="J51" s="0" t="s">
        <v>535</v>
      </c>
      <c r="K51" s="14" t="s">
        <v>536</v>
      </c>
      <c r="L51" s="0" t="s">
        <v>537</v>
      </c>
      <c r="M51" s="0" t="s">
        <v>538</v>
      </c>
      <c r="N51" s="0" t="s">
        <v>539</v>
      </c>
      <c r="O51" s="0" t="s">
        <v>307</v>
      </c>
      <c r="U51" s="0" t="s">
        <v>352</v>
      </c>
      <c r="V51" s="0" t="s">
        <v>540</v>
      </c>
      <c r="X51" s="4" t="s">
        <v>541</v>
      </c>
    </row>
    <row r="52" customFormat="false" ht="15" hidden="false" customHeight="false" outlineLevel="0" collapsed="false">
      <c r="A52" s="1" t="s">
        <v>542</v>
      </c>
      <c r="B52" s="1" t="s">
        <v>543</v>
      </c>
      <c r="C52" s="0" t="s">
        <v>544</v>
      </c>
      <c r="D52" s="0" t="s">
        <v>77</v>
      </c>
      <c r="E52" s="0" t="s">
        <v>359</v>
      </c>
      <c r="F52" s="0" t="s">
        <v>360</v>
      </c>
      <c r="G52" s="0" t="s">
        <v>300</v>
      </c>
      <c r="H52" s="0" t="s">
        <v>301</v>
      </c>
      <c r="I52" s="0" t="s">
        <v>395</v>
      </c>
      <c r="J52" s="0" t="s">
        <v>362</v>
      </c>
      <c r="K52" s="0" t="s">
        <v>396</v>
      </c>
      <c r="L52" s="0" t="s">
        <v>545</v>
      </c>
      <c r="M52" s="0" t="s">
        <v>546</v>
      </c>
      <c r="N52" s="0" t="s">
        <v>547</v>
      </c>
      <c r="O52" s="0" t="s">
        <v>307</v>
      </c>
      <c r="U52" s="0" t="s">
        <v>352</v>
      </c>
      <c r="V52" s="0" t="s">
        <v>363</v>
      </c>
      <c r="W52" s="0" t="s">
        <v>364</v>
      </c>
      <c r="X52" s="4" t="s">
        <v>365</v>
      </c>
    </row>
    <row r="53" customFormat="false" ht="15" hidden="false" customHeight="false" outlineLevel="0" collapsed="false">
      <c r="A53" s="1" t="s">
        <v>548</v>
      </c>
      <c r="B53" s="1" t="s">
        <v>549</v>
      </c>
      <c r="C53" s="0" t="s">
        <v>550</v>
      </c>
      <c r="D53" s="0" t="s">
        <v>26</v>
      </c>
      <c r="E53" s="0" t="s">
        <v>458</v>
      </c>
      <c r="F53" s="0" t="s">
        <v>459</v>
      </c>
      <c r="G53" s="0" t="s">
        <v>300</v>
      </c>
      <c r="H53" s="0" t="s">
        <v>301</v>
      </c>
      <c r="I53" s="0" t="s">
        <v>551</v>
      </c>
      <c r="J53" s="0" t="s">
        <v>461</v>
      </c>
      <c r="K53" s="0" t="s">
        <v>462</v>
      </c>
      <c r="L53" s="0" t="s">
        <v>552</v>
      </c>
      <c r="M53" s="0" t="s">
        <v>553</v>
      </c>
      <c r="N53" s="0" t="s">
        <v>554</v>
      </c>
      <c r="O53" s="0" t="s">
        <v>307</v>
      </c>
      <c r="U53" s="0" t="str">
        <f aca="false">"- (2x low complexity)"</f>
        <v>- (2x low complexity)</v>
      </c>
      <c r="V53" s="0" t="s">
        <v>466</v>
      </c>
      <c r="W53" s="0" t="s">
        <v>467</v>
      </c>
      <c r="X53" s="4" t="s">
        <v>468</v>
      </c>
    </row>
    <row r="54" customFormat="false" ht="15.75" hidden="false" customHeight="false" outlineLevel="0" collapsed="false">
      <c r="A54" s="1" t="s">
        <v>555</v>
      </c>
      <c r="B54" s="1" t="s">
        <v>556</v>
      </c>
      <c r="C54" s="0" t="s">
        <v>557</v>
      </c>
      <c r="D54" s="0" t="s">
        <v>26</v>
      </c>
      <c r="E54" s="0" t="s">
        <v>558</v>
      </c>
      <c r="F54" s="0" t="s">
        <v>559</v>
      </c>
      <c r="G54" s="0" t="s">
        <v>300</v>
      </c>
      <c r="I54" s="0" t="s">
        <v>560</v>
      </c>
      <c r="J54" s="0" t="s">
        <v>561</v>
      </c>
      <c r="K54" s="14" t="s">
        <v>562</v>
      </c>
      <c r="L54" s="0" t="s">
        <v>563</v>
      </c>
      <c r="M54" s="0" t="s">
        <v>62</v>
      </c>
      <c r="N54" s="0" t="s">
        <v>564</v>
      </c>
      <c r="R54" s="6" t="s">
        <v>565</v>
      </c>
      <c r="S54" s="15" t="s">
        <v>566</v>
      </c>
      <c r="U54" s="0" t="s">
        <v>352</v>
      </c>
      <c r="V54" s="0" t="s">
        <v>567</v>
      </c>
      <c r="W54" s="0" t="s">
        <v>568</v>
      </c>
      <c r="X54" s="4" t="s">
        <v>569</v>
      </c>
    </row>
    <row r="55" customFormat="false" ht="15" hidden="false" customHeight="false" outlineLevel="0" collapsed="false">
      <c r="A55" s="1" t="s">
        <v>570</v>
      </c>
      <c r="B55" s="1" t="s">
        <v>571</v>
      </c>
      <c r="C55" s="0" t="s">
        <v>572</v>
      </c>
      <c r="D55" s="0" t="s">
        <v>77</v>
      </c>
      <c r="E55" s="0" t="s">
        <v>441</v>
      </c>
      <c r="F55" s="0" t="s">
        <v>442</v>
      </c>
      <c r="G55" s="0" t="s">
        <v>300</v>
      </c>
      <c r="H55" s="0" t="s">
        <v>301</v>
      </c>
      <c r="I55" s="0" t="s">
        <v>443</v>
      </c>
      <c r="J55" s="0" t="s">
        <v>444</v>
      </c>
      <c r="K55" s="0" t="s">
        <v>445</v>
      </c>
      <c r="L55" s="0" t="s">
        <v>573</v>
      </c>
      <c r="M55" s="0" t="s">
        <v>574</v>
      </c>
      <c r="N55" s="0" t="s">
        <v>575</v>
      </c>
      <c r="O55" s="0" t="s">
        <v>307</v>
      </c>
      <c r="U55" s="0" t="s">
        <v>333</v>
      </c>
      <c r="V55" s="0" t="s">
        <v>452</v>
      </c>
      <c r="W55" s="0" t="s">
        <v>453</v>
      </c>
      <c r="X55" s="4" t="s">
        <v>454</v>
      </c>
    </row>
    <row r="56" customFormat="false" ht="15" hidden="false" customHeight="false" outlineLevel="0" collapsed="false">
      <c r="A56" s="1" t="s">
        <v>576</v>
      </c>
      <c r="B56" s="1" t="s">
        <v>577</v>
      </c>
      <c r="C56" s="0" t="s">
        <v>578</v>
      </c>
      <c r="D56" s="0" t="s">
        <v>26</v>
      </c>
      <c r="E56" s="0" t="s">
        <v>359</v>
      </c>
      <c r="F56" s="0" t="s">
        <v>360</v>
      </c>
      <c r="G56" s="0" t="s">
        <v>300</v>
      </c>
      <c r="H56" s="0" t="s">
        <v>301</v>
      </c>
      <c r="I56" s="0" t="s">
        <v>395</v>
      </c>
      <c r="J56" s="0" t="s">
        <v>362</v>
      </c>
      <c r="K56" s="0" t="s">
        <v>396</v>
      </c>
      <c r="L56" s="0" t="s">
        <v>397</v>
      </c>
      <c r="M56" s="0" t="s">
        <v>164</v>
      </c>
      <c r="N56" s="0" t="s">
        <v>398</v>
      </c>
      <c r="R56" s="6" t="s">
        <v>399</v>
      </c>
      <c r="S56" s="6" t="s">
        <v>400</v>
      </c>
      <c r="T56" s="0" t="n">
        <v>0</v>
      </c>
      <c r="U56" s="0" t="str">
        <f aca="false">"- (2x low complexity)"</f>
        <v>- (2x low complexity)</v>
      </c>
      <c r="V56" s="0" t="s">
        <v>363</v>
      </c>
      <c r="W56" s="0" t="s">
        <v>364</v>
      </c>
      <c r="X56" s="4" t="s">
        <v>365</v>
      </c>
    </row>
    <row r="57" customFormat="false" ht="15.75" hidden="false" customHeight="false" outlineLevel="0" collapsed="false">
      <c r="A57" s="1" t="s">
        <v>579</v>
      </c>
      <c r="B57" s="1" t="s">
        <v>580</v>
      </c>
      <c r="C57" s="0" t="s">
        <v>581</v>
      </c>
      <c r="D57" s="0" t="s">
        <v>26</v>
      </c>
      <c r="F57" s="0" t="s">
        <v>582</v>
      </c>
      <c r="G57" s="0" t="s">
        <v>300</v>
      </c>
      <c r="H57" s="0" t="s">
        <v>301</v>
      </c>
      <c r="I57" s="0" t="s">
        <v>583</v>
      </c>
      <c r="J57" s="0" t="s">
        <v>584</v>
      </c>
      <c r="K57" s="0" t="s">
        <v>347</v>
      </c>
      <c r="L57" s="0" t="s">
        <v>585</v>
      </c>
      <c r="M57" s="0" t="s">
        <v>62</v>
      </c>
      <c r="N57" s="0" t="s">
        <v>586</v>
      </c>
      <c r="R57" s="0" t="s">
        <v>587</v>
      </c>
      <c r="S57" s="0" t="s">
        <v>588</v>
      </c>
      <c r="T57" s="0" t="n">
        <v>0</v>
      </c>
      <c r="U57" s="0" t="s">
        <v>333</v>
      </c>
    </row>
    <row r="58" customFormat="false" ht="15" hidden="false" customHeight="false" outlineLevel="0" collapsed="false">
      <c r="A58" s="1" t="s">
        <v>589</v>
      </c>
      <c r="B58" s="1" t="s">
        <v>590</v>
      </c>
      <c r="C58" s="0" t="s">
        <v>591</v>
      </c>
      <c r="D58" s="0" t="s">
        <v>26</v>
      </c>
      <c r="E58" s="0" t="s">
        <v>592</v>
      </c>
      <c r="F58" s="0" t="s">
        <v>593</v>
      </c>
      <c r="G58" s="0" t="s">
        <v>300</v>
      </c>
      <c r="H58" s="0" t="s">
        <v>301</v>
      </c>
      <c r="I58" s="0" t="s">
        <v>594</v>
      </c>
      <c r="J58" s="0" t="s">
        <v>346</v>
      </c>
      <c r="K58" s="0" t="s">
        <v>347</v>
      </c>
      <c r="L58" s="0" t="s">
        <v>595</v>
      </c>
      <c r="M58" s="0" t="s">
        <v>62</v>
      </c>
      <c r="N58" s="0" t="s">
        <v>596</v>
      </c>
      <c r="R58" s="6" t="s">
        <v>597</v>
      </c>
      <c r="S58" s="6" t="s">
        <v>400</v>
      </c>
      <c r="U58" s="0" t="s">
        <v>352</v>
      </c>
      <c r="V58" s="16" t="s">
        <v>598</v>
      </c>
      <c r="W58" s="0" t="s">
        <v>599</v>
      </c>
      <c r="X58" s="4" t="s">
        <v>600</v>
      </c>
    </row>
    <row r="59" customFormat="false" ht="15" hidden="false" customHeight="false" outlineLevel="0" collapsed="false">
      <c r="A59" s="0" t="s">
        <v>601</v>
      </c>
      <c r="B59" s="0" t="s">
        <v>602</v>
      </c>
      <c r="C59" s="0" t="s">
        <v>603</v>
      </c>
      <c r="D59" s="0" t="s">
        <v>26</v>
      </c>
      <c r="E59" s="0" t="s">
        <v>359</v>
      </c>
      <c r="F59" s="0" t="s">
        <v>360</v>
      </c>
      <c r="G59" s="0" t="s">
        <v>300</v>
      </c>
      <c r="H59" s="0" t="s">
        <v>301</v>
      </c>
      <c r="I59" s="0" t="s">
        <v>395</v>
      </c>
      <c r="J59" s="0" t="s">
        <v>362</v>
      </c>
      <c r="K59" s="0" t="s">
        <v>347</v>
      </c>
      <c r="L59" s="0" t="s">
        <v>348</v>
      </c>
      <c r="M59" s="0" t="s">
        <v>164</v>
      </c>
      <c r="N59" s="0" t="s">
        <v>349</v>
      </c>
      <c r="R59" s="0" t="s">
        <v>350</v>
      </c>
      <c r="S59" s="0" t="s">
        <v>351</v>
      </c>
      <c r="T59" s="0" t="n">
        <v>0</v>
      </c>
      <c r="U59" s="0" t="s">
        <v>352</v>
      </c>
      <c r="V59" s="0" t="s">
        <v>363</v>
      </c>
      <c r="W59" s="0" t="s">
        <v>364</v>
      </c>
      <c r="X59" s="4" t="s">
        <v>365</v>
      </c>
    </row>
    <row r="60" customFormat="false" ht="15.75" hidden="false" customHeight="false" outlineLevel="0" collapsed="false">
      <c r="A60" s="0" t="s">
        <v>604</v>
      </c>
      <c r="B60" s="0" t="s">
        <v>605</v>
      </c>
      <c r="C60" s="0" t="s">
        <v>606</v>
      </c>
      <c r="D60" s="0" t="s">
        <v>77</v>
      </c>
      <c r="E60" s="0" t="s">
        <v>607</v>
      </c>
      <c r="F60" s="0" t="s">
        <v>608</v>
      </c>
      <c r="G60" s="0" t="s">
        <v>300</v>
      </c>
      <c r="H60" s="0" t="s">
        <v>301</v>
      </c>
      <c r="I60" s="0" t="s">
        <v>609</v>
      </c>
      <c r="J60" s="0" t="s">
        <v>610</v>
      </c>
      <c r="K60" s="14" t="s">
        <v>611</v>
      </c>
      <c r="L60" s="0" t="s">
        <v>612</v>
      </c>
      <c r="M60" s="0" t="s">
        <v>613</v>
      </c>
      <c r="N60" s="0" t="s">
        <v>614</v>
      </c>
      <c r="O60" s="0" t="s">
        <v>307</v>
      </c>
      <c r="U60" s="0" t="s">
        <v>352</v>
      </c>
      <c r="V60" s="0" t="s">
        <v>540</v>
      </c>
      <c r="X60" s="4" t="s">
        <v>615</v>
      </c>
    </row>
    <row r="61" customFormat="false" ht="31.5" hidden="false" customHeight="false" outlineLevel="0" collapsed="false">
      <c r="A61" s="0" t="s">
        <v>616</v>
      </c>
      <c r="B61" s="0" t="s">
        <v>617</v>
      </c>
      <c r="C61" s="0" t="s">
        <v>618</v>
      </c>
      <c r="D61" s="0" t="s">
        <v>77</v>
      </c>
      <c r="E61" s="0" t="s">
        <v>619</v>
      </c>
      <c r="F61" s="0" t="s">
        <v>620</v>
      </c>
      <c r="G61" s="0" t="s">
        <v>300</v>
      </c>
      <c r="H61" s="0" t="s">
        <v>621</v>
      </c>
      <c r="I61" s="0" t="s">
        <v>622</v>
      </c>
      <c r="J61" s="0" t="s">
        <v>623</v>
      </c>
      <c r="K61" s="0" t="s">
        <v>60</v>
      </c>
      <c r="L61" s="17" t="s">
        <v>624</v>
      </c>
      <c r="M61" s="0" t="s">
        <v>62</v>
      </c>
      <c r="N61" s="0" t="s">
        <v>625</v>
      </c>
      <c r="O61" s="18" t="s">
        <v>307</v>
      </c>
      <c r="P61" s="18"/>
      <c r="Q61" s="18"/>
      <c r="R61" s="18"/>
      <c r="S61" s="18"/>
      <c r="T61" s="18"/>
      <c r="U61" s="0" t="s">
        <v>352</v>
      </c>
      <c r="V61" s="0" t="s">
        <v>626</v>
      </c>
      <c r="W61" s="0" t="s">
        <v>627</v>
      </c>
      <c r="X61" s="4" t="s">
        <v>628</v>
      </c>
    </row>
    <row r="62" customFormat="false" ht="15" hidden="false" customHeight="false" outlineLevel="0" collapsed="false">
      <c r="A62" s="0" t="s">
        <v>629</v>
      </c>
      <c r="B62" s="0" t="s">
        <v>630</v>
      </c>
      <c r="C62" s="0" t="s">
        <v>631</v>
      </c>
      <c r="D62" s="0" t="s">
        <v>77</v>
      </c>
      <c r="E62" s="0" t="s">
        <v>632</v>
      </c>
      <c r="F62" s="0" t="s">
        <v>633</v>
      </c>
      <c r="G62" s="0" t="s">
        <v>300</v>
      </c>
      <c r="H62" s="0" t="s">
        <v>301</v>
      </c>
      <c r="I62" s="0" t="s">
        <v>634</v>
      </c>
      <c r="J62" s="0" t="s">
        <v>635</v>
      </c>
      <c r="K62" s="0" t="s">
        <v>636</v>
      </c>
      <c r="L62" s="0" t="s">
        <v>637</v>
      </c>
      <c r="M62" s="0" t="s">
        <v>62</v>
      </c>
      <c r="N62" s="0" t="s">
        <v>638</v>
      </c>
      <c r="O62" s="0" t="s">
        <v>307</v>
      </c>
      <c r="U62" s="0" t="s">
        <v>639</v>
      </c>
      <c r="V62" s="0" t="s">
        <v>640</v>
      </c>
      <c r="W62" s="0" t="s">
        <v>641</v>
      </c>
      <c r="X62" s="4" t="s">
        <v>642</v>
      </c>
    </row>
    <row r="63" customFormat="false" ht="15" hidden="false" customHeight="false" outlineLevel="0" collapsed="false">
      <c r="A63" s="0" t="s">
        <v>643</v>
      </c>
      <c r="B63" s="0" t="s">
        <v>644</v>
      </c>
      <c r="C63" s="0" t="s">
        <v>645</v>
      </c>
      <c r="D63" s="0" t="s">
        <v>77</v>
      </c>
      <c r="E63" s="0" t="s">
        <v>619</v>
      </c>
      <c r="F63" s="0" t="s">
        <v>620</v>
      </c>
      <c r="G63" s="0" t="s">
        <v>300</v>
      </c>
      <c r="H63" s="0" t="s">
        <v>621</v>
      </c>
      <c r="I63" s="0" t="s">
        <v>622</v>
      </c>
      <c r="J63" s="0" t="s">
        <v>623</v>
      </c>
      <c r="K63" s="0" t="s">
        <v>60</v>
      </c>
      <c r="L63" s="0" t="s">
        <v>646</v>
      </c>
      <c r="M63" s="0" t="s">
        <v>647</v>
      </c>
      <c r="N63" s="0" t="s">
        <v>648</v>
      </c>
      <c r="O63" s="0" t="s">
        <v>307</v>
      </c>
      <c r="U63" s="0" t="s">
        <v>649</v>
      </c>
      <c r="V63" s="0" t="s">
        <v>626</v>
      </c>
      <c r="W63" s="0" t="s">
        <v>627</v>
      </c>
      <c r="X63" s="4" t="s">
        <v>628</v>
      </c>
    </row>
    <row r="64" customFormat="false" ht="15" hidden="false" customHeight="false" outlineLevel="0" collapsed="false">
      <c r="A64" s="0" t="s">
        <v>650</v>
      </c>
      <c r="B64" s="0" t="s">
        <v>651</v>
      </c>
      <c r="C64" s="0" t="s">
        <v>652</v>
      </c>
      <c r="D64" s="0" t="s">
        <v>26</v>
      </c>
      <c r="E64" s="0" t="s">
        <v>653</v>
      </c>
      <c r="F64" s="0" t="s">
        <v>654</v>
      </c>
      <c r="G64" s="0" t="s">
        <v>300</v>
      </c>
      <c r="H64" s="0" t="s">
        <v>301</v>
      </c>
      <c r="I64" s="0" t="s">
        <v>655</v>
      </c>
      <c r="J64" s="0" t="s">
        <v>656</v>
      </c>
      <c r="K64" s="0" t="s">
        <v>657</v>
      </c>
      <c r="L64" s="0" t="s">
        <v>658</v>
      </c>
      <c r="M64" s="0" t="s">
        <v>164</v>
      </c>
      <c r="N64" s="0" t="s">
        <v>659</v>
      </c>
      <c r="O64" s="0" t="s">
        <v>307</v>
      </c>
      <c r="U64" s="0" t="s">
        <v>352</v>
      </c>
      <c r="V64" s="0" t="s">
        <v>182</v>
      </c>
      <c r="W64" s="0" t="s">
        <v>660</v>
      </c>
      <c r="X64" s="4" t="s">
        <v>661</v>
      </c>
    </row>
    <row r="65" customFormat="false" ht="15" hidden="false" customHeight="false" outlineLevel="0" collapsed="false">
      <c r="A65" s="0" t="s">
        <v>662</v>
      </c>
      <c r="B65" s="0" t="s">
        <v>663</v>
      </c>
      <c r="C65" s="0" t="s">
        <v>664</v>
      </c>
      <c r="D65" s="0" t="s">
        <v>26</v>
      </c>
      <c r="E65" s="0" t="s">
        <v>653</v>
      </c>
      <c r="F65" s="0" t="s">
        <v>654</v>
      </c>
      <c r="G65" s="0" t="s">
        <v>300</v>
      </c>
      <c r="H65" s="0" t="s">
        <v>301</v>
      </c>
      <c r="I65" s="0" t="s">
        <v>655</v>
      </c>
      <c r="J65" s="0" t="s">
        <v>656</v>
      </c>
      <c r="K65" s="0" t="s">
        <v>657</v>
      </c>
      <c r="L65" s="0" t="s">
        <v>658</v>
      </c>
      <c r="M65" s="0" t="s">
        <v>164</v>
      </c>
      <c r="N65" s="0" t="s">
        <v>659</v>
      </c>
      <c r="O65" s="0" t="s">
        <v>307</v>
      </c>
      <c r="U65" s="0" t="s">
        <v>352</v>
      </c>
      <c r="V65" s="0" t="s">
        <v>182</v>
      </c>
      <c r="W65" s="0" t="s">
        <v>660</v>
      </c>
      <c r="X65" s="4" t="s">
        <v>661</v>
      </c>
    </row>
    <row r="66" customFormat="false" ht="15.75" hidden="false" customHeight="false" outlineLevel="0" collapsed="false">
      <c r="A66" s="0" t="s">
        <v>665</v>
      </c>
      <c r="B66" s="0" t="s">
        <v>666</v>
      </c>
      <c r="C66" s="0" t="s">
        <v>667</v>
      </c>
      <c r="D66" s="0" t="s">
        <v>77</v>
      </c>
      <c r="E66" s="0" t="s">
        <v>668</v>
      </c>
      <c r="F66" s="0" t="s">
        <v>608</v>
      </c>
      <c r="G66" s="0" t="s">
        <v>300</v>
      </c>
      <c r="H66" s="0" t="s">
        <v>301</v>
      </c>
      <c r="I66" s="0" t="s">
        <v>609</v>
      </c>
      <c r="J66" s="0" t="s">
        <v>610</v>
      </c>
      <c r="K66" s="0" t="s">
        <v>611</v>
      </c>
      <c r="L66" s="0" t="s">
        <v>669</v>
      </c>
      <c r="M66" s="6" t="s">
        <v>670</v>
      </c>
      <c r="N66" s="0" t="s">
        <v>671</v>
      </c>
      <c r="R66" s="6" t="s">
        <v>672</v>
      </c>
      <c r="S66" s="6" t="s">
        <v>673</v>
      </c>
      <c r="U66" s="0" t="s">
        <v>333</v>
      </c>
      <c r="V66" s="0" t="s">
        <v>540</v>
      </c>
      <c r="X66" s="4" t="s">
        <v>615</v>
      </c>
    </row>
    <row r="67" customFormat="false" ht="15.75" hidden="false" customHeight="false" outlineLevel="0" collapsed="false">
      <c r="A67" s="19" t="s">
        <v>674</v>
      </c>
      <c r="B67" s="0" t="s">
        <v>675</v>
      </c>
      <c r="C67" s="0" t="s">
        <v>676</v>
      </c>
      <c r="D67" s="0" t="s">
        <v>77</v>
      </c>
      <c r="E67" s="20" t="s">
        <v>677</v>
      </c>
      <c r="L67" s="0" t="s">
        <v>678</v>
      </c>
      <c r="M67" s="0" t="s">
        <v>679</v>
      </c>
      <c r="N67" s="0" t="s">
        <v>680</v>
      </c>
      <c r="O67" s="0" t="s">
        <v>307</v>
      </c>
      <c r="U67" s="0" t="s">
        <v>681</v>
      </c>
    </row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112" s="21" customFormat="true" ht="90" hidden="false" customHeight="true" outlineLevel="0" collapsed="false">
      <c r="R112" s="22"/>
      <c r="S112" s="22"/>
      <c r="T112" s="22"/>
    </row>
  </sheetData>
  <autoFilter ref="A1:W67">
    <sortState ref="A2:W67">
      <sortCondition ref="A2:A67" customList=""/>
    </sortState>
  </autoFilter>
  <conditionalFormatting sqref="A67">
    <cfRule type="duplicateValues" priority="2" aboveAverage="0" equalAverage="0" bottom="0" percent="0" rank="0" text="" dxfId="6"/>
  </conditionalFormatting>
  <conditionalFormatting sqref="B30:B58">
    <cfRule type="duplicateValues" priority="3" aboveAverage="0" equalAverage="0" bottom="0" percent="0" rank="0" text="" dxfId="7"/>
  </conditionalFormatting>
  <conditionalFormatting sqref="A30:A48 A50:A58">
    <cfRule type="duplicateValues" priority="4" aboveAverage="0" equalAverage="0" bottom="0" percent="0" rank="0" text="" dxfId="8"/>
  </conditionalFormatting>
  <conditionalFormatting sqref="A27:A29">
    <cfRule type="duplicateValues" priority="5" aboveAverage="0" equalAverage="0" bottom="0" percent="0" rank="0" text="" dxfId="9"/>
    <cfRule type="duplicateValues" priority="6" aboveAverage="0" equalAverage="0" bottom="0" percent="0" rank="0" text="" dxfId="10"/>
  </conditionalFormatting>
  <conditionalFormatting sqref="A11">
    <cfRule type="duplicateValues" priority="7" aboveAverage="0" equalAverage="0" bottom="0" percent="0" rank="0" text="" dxfId="11"/>
  </conditionalFormatting>
  <conditionalFormatting sqref="A10">
    <cfRule type="duplicateValues" priority="8" aboveAverage="0" equalAverage="0" bottom="0" percent="0" rank="0" text="" dxfId="12"/>
  </conditionalFormatting>
  <conditionalFormatting sqref="A16">
    <cfRule type="duplicateValues" priority="9" aboveAverage="0" equalAverage="0" bottom="0" percent="0" rank="0" text="" dxfId="13"/>
  </conditionalFormatting>
  <hyperlinks>
    <hyperlink ref="R2" r:id="rId1" display="PS00157 "/>
    <hyperlink ref="X2" r:id="rId2" display="Information on EC 4.1.1.39 - ribulose-bisphosphate carboxylase - BRENDA Enzyme Database (brenda-enzymes.org)"/>
    <hyperlink ref="V3" r:id="rId3" display="map00710"/>
    <hyperlink ref="X3" r:id="rId4" display="Information on EC 4.1.1.39 - ribulose-bisphosphate carboxylase - BRENDA Enzyme Database (brenda-enzymes.org)"/>
    <hyperlink ref="A4" r:id="rId5" display="PF00289"/>
    <hyperlink ref="M4" r:id="rId6" display="Homo sapiens (Human)"/>
    <hyperlink ref="V4" r:id="rId7" display="map00780"/>
    <hyperlink ref="X4" r:id="rId8" location="SUBSTRATE" display="Information on EC 6.3.4.14 - biotin carboxylase - BRENDA Enzyme Database (brenda-enzymes.org)"/>
    <hyperlink ref="A5" r:id="rId9" display="PF00311"/>
    <hyperlink ref="B5" r:id="rId10" display="Phosphoenolpyruvate carboxylase "/>
    <hyperlink ref="M5" r:id="rId11" display="Flaveria trinervia (Clustered yellowtops) (Oedera trinervia)"/>
    <hyperlink ref="V5" r:id="rId12" display="map00710"/>
    <hyperlink ref="X5" r:id="rId13" location="SUBSTRATE" display="Information on EC 6.3.4.14 - biotin carboxylase - BRENDA Enzyme Database (brenda-enzymes.org)"/>
    <hyperlink ref="A6" r:id="rId14" display="PF02329"/>
    <hyperlink ref="M6" r:id="rId15" display="Lactobacillus sp. (strain 30a)"/>
    <hyperlink ref="V6" r:id="rId16" display="map00340"/>
    <hyperlink ref="X6" r:id="rId17" location="COFACTOR" display="Information on EC 4.1.1.22 - histidine decarboxylase - BRENDA Enzyme Database (brenda-enzymes.org)"/>
    <hyperlink ref="R7" r:id="rId18" display="PS00157 "/>
    <hyperlink ref="X7" r:id="rId19" display="Information on EC 4.1.1.39 - ribulose-bisphosphate carboxylase - BRENDA Enzyme Database (brenda-enzymes.org)"/>
    <hyperlink ref="A8" r:id="rId20" display="PF02436"/>
    <hyperlink ref="M8" r:id="rId21" display="Homo sapiens (Human)"/>
    <hyperlink ref="R8" r:id="rId22" display="PS00188 "/>
    <hyperlink ref="V8" r:id="rId23" display="map00020"/>
    <hyperlink ref="X8" r:id="rId24" location="COFACTOR" display="Information on EC 6.4.1.1 - pyruvate carboxylase - BRENDA Enzyme Database (brenda-enzymes.org)"/>
    <hyperlink ref="F9" r:id="rId25" display="6.3.4.6"/>
    <hyperlink ref="M9" r:id="rId26" display="Emericella nidulans (strain FGSC A4 / ATCC 38163 / CBS 112.46 / NRRL 194 / M139) (Aspergillus nidulans)"/>
    <hyperlink ref="V9" r:id="rId27" display="map00230"/>
    <hyperlink ref="X9" r:id="rId28" display="Information on EC 6.3.4.6 - urea carboxylase - BRENDA Enzyme Database (brenda-enzymes.org)"/>
    <hyperlink ref="F10" r:id="rId29" display="6.3.4.6"/>
    <hyperlink ref="M10" r:id="rId30" display="Bacillus subtilis (strain 168)"/>
    <hyperlink ref="V10" r:id="rId31" display="map00230"/>
    <hyperlink ref="X10" r:id="rId32" display="Information on EC 6.3.4.6 - urea carboxylase - BRENDA Enzyme Database (brenda-enzymes.org)"/>
    <hyperlink ref="A11" r:id="rId33" display="PF02785"/>
    <hyperlink ref="M11" r:id="rId34" display="Homo sapiens (Human)"/>
    <hyperlink ref="V11" r:id="rId35" display="map00780"/>
    <hyperlink ref="X11" r:id="rId36" location="SUBSTRATE" display="Information on EC 6.3.4.14 - biotin carboxylase - BRENDA Enzyme Database (brenda-enzymes.org)"/>
    <hyperlink ref="R12" r:id="rId37" display="PS00157 "/>
    <hyperlink ref="X12" r:id="rId38" display="Information on EC 4.1.1.39 - ribulose-bisphosphate carboxylase - BRENDA Enzyme Database (brenda-enzymes.org)"/>
    <hyperlink ref="A13" r:id="rId39" display="PF03255"/>
    <hyperlink ref="M13" r:id="rId40" display="Escherichia coli (strain K12)"/>
    <hyperlink ref="O13" r:id="rId41" display="PS50989"/>
    <hyperlink ref="V13" r:id="rId42" display="map00061"/>
    <hyperlink ref="X13" r:id="rId43" display="Information on EC 6.4.1.2 - acetyl-CoA carboxylase - BRENDA Enzyme Database (brenda-enzymes.org)"/>
    <hyperlink ref="A14" r:id="rId44" display="PF05090"/>
    <hyperlink ref="M14" r:id="rId45" display="Homo sapiens (Human)"/>
    <hyperlink ref="V14" r:id="rId46" display="map00130"/>
    <hyperlink ref="X14" r:id="rId47" location="COFACTOR" display="Information on EC 4.1.1.90 - peptidyl-glutamate 4-carboxylase - BRENDA Enzyme Database (brenda-enzymes.org)"/>
    <hyperlink ref="A15" r:id="rId48" display="PF08326"/>
    <hyperlink ref="M15" r:id="rId49" display="Homo sapiens (Human)"/>
    <hyperlink ref="O15" r:id="rId50" display="PS50979 &#10;PS50975 &#10;PS50968&#10;PS50980&#10;PS50989"/>
    <hyperlink ref="X15" r:id="rId51" display="Information on EC 6.4.1.2 - acetyl-CoA carboxylase - BRENDA Enzyme Database (brenda-enzymes.org)"/>
    <hyperlink ref="A16" r:id="rId52" display="PF08882"/>
    <hyperlink ref="M16" r:id="rId53" display="Aromatoleum aromaticum (strain EbN1) (Azoarcus sp. (strain EbN1))"/>
    <hyperlink ref="V16" r:id="rId54" display="map00642"/>
    <hyperlink ref="O17" r:id="rId55" display="PS50280"/>
    <hyperlink ref="V17" r:id="rId56" display="map00710"/>
    <hyperlink ref="X17" r:id="rId57" display="Information on EC 4.1.1.39 - ribulose-bisphosphate carboxylase - BRENDA Enzyme Database (brenda-enzymes.org)"/>
    <hyperlink ref="V18" r:id="rId58" display="map00710"/>
    <hyperlink ref="X18" r:id="rId59" display="Information on EC 4.1.1.39 - ribulose-bisphosphate carboxylase - BRENDA Enzyme Database (brenda-enzymes.org)"/>
    <hyperlink ref="A19" r:id="rId60" display="PF13822"/>
    <hyperlink ref="M19" r:id="rId61" display="Mycobacterium tuberculosis (strain ATCC 25618 / H37Rv)"/>
    <hyperlink ref="V19" r:id="rId62" display="map00061"/>
    <hyperlink ref="X19" r:id="rId63" location="COFACTOR" display="Information on EC 6.4.1.2 - acetyl-CoA carboxylase - BRENDA Enzyme Database (brenda-enzymes.org)"/>
    <hyperlink ref="A20" r:id="rId64" display="PF14010"/>
    <hyperlink ref="M20" r:id="rId65" display="Methanothermobacter thermautotrophicus (strain ATCC 29096 / DSM 1053 / JCM 10044 / NBRC 100330 / Delta H) "/>
    <hyperlink ref="V20" r:id="rId66" display="map00710"/>
    <hyperlink ref="X20" r:id="rId67" location="SUBSTRATE" display="Information on EC 6.3.4.14 - biotin carboxylase - BRENDA Enzyme Database (brenda-enzymes.org)"/>
    <hyperlink ref="A21" r:id="rId68" display="PF17848"/>
    <hyperlink ref="M21" r:id="rId69" display="Escherichia coli (strain K12)"/>
    <hyperlink ref="V21" r:id="rId70" display="map00061"/>
    <hyperlink ref="X21" r:id="rId71" location="COFACTOR" display="Information on EC 6.4.1.2 - acetyl-CoA carboxylase - BRENDA Enzyme Database (brenda-enzymes.org)"/>
    <hyperlink ref="V22" r:id="rId72" display="map00710"/>
    <hyperlink ref="X22" r:id="rId73" display="Information on EC 4.1.1.39 - ribulose-bisphosphate carboxylase - BRENDA Enzyme Database (brenda-enzymes.org)"/>
    <hyperlink ref="A23" r:id="rId74" display="PF18140"/>
    <hyperlink ref="M23" r:id="rId75" display="Homo sapiens (Human)"/>
    <hyperlink ref="V23" r:id="rId76" display="lph00280&#10;lph00630"/>
    <hyperlink ref="X23" r:id="rId77" display="Information on EC 6.4.1.3 - propionyl-CoA carboxylase - BRENDA Enzyme Database (brenda-enzymes.org)"/>
    <hyperlink ref="V24" r:id="rId78" display="map00710"/>
    <hyperlink ref="X24" r:id="rId79" display="Information on EC 4.1.1.39 - ribulose-bisphosphate carboxylase - BRENDA Enzyme Database (brenda-enzymes.org)"/>
    <hyperlink ref="R25" r:id="rId80" display="PS00012 "/>
    <hyperlink ref="V25" r:id="rId81" display="map00710"/>
    <hyperlink ref="X25" r:id="rId82" display="Information on EC 4.1.1.39 - ribulose-bisphosphate carboxylase - BRENDA Enzyme Database (brenda-enzymes.org)"/>
    <hyperlink ref="A26" r:id="rId83" display="PF19331"/>
    <hyperlink ref="M26" r:id="rId84" display="Glycine max (Soybean) (Glycine hispida)"/>
    <hyperlink ref="V26" r:id="rId85" display="map00280"/>
    <hyperlink ref="X26" r:id="rId86" location="COFACTOR" display="Information on EC 6.4.1.3 - propionyl-CoA carboxylase - BRENDA Enzyme Database (brenda-enzymes.org)"/>
    <hyperlink ref="M27" r:id="rId87" display="Mycolicibacterium aichiense"/>
    <hyperlink ref="X27" r:id="rId88" location="COFACTOR" display="Information on EC 6.4.1.3 - propionyl-CoA carboxylase - BRENDA Enzyme Database (brenda-enzymes.org)"/>
    <hyperlink ref="M28" r:id="rId89" display="Oryza sativa subsp. japonica (Rice)"/>
    <hyperlink ref="X28" r:id="rId90" display="Information on EC 4.1.1.39 - ribulose-bisphosphate carboxylase - BRENDA Enzyme Database (brenda-enzymes.org)"/>
    <hyperlink ref="A29" r:id="rId91" display="PF21385"/>
    <hyperlink ref="M29" r:id="rId92" display="Homo sapiens (Human)"/>
    <hyperlink ref="O29" r:id="rId93" display="PS50979 &#10;PS50975 &#10;PS50968&#10;PS50980&#10;PS50989"/>
    <hyperlink ref="X29" r:id="rId94" display="Information on EC 6.4.1.2 - acetyl-CoA carboxylase - BRENDA Enzyme Database (brenda-enzymes.org)"/>
    <hyperlink ref="A30" r:id="rId95" display="PF02261"/>
    <hyperlink ref="B30" r:id="rId96" display="Aspartate decarboxylase"/>
    <hyperlink ref="M30" r:id="rId97" display="Escherichia coli (strain K12)"/>
    <hyperlink ref="V30" r:id="rId98" display="map00250 "/>
    <hyperlink ref="X30" r:id="rId99" display="Information on EC 4.1.1.11 - aspartate 1-decarboxylase - BRENDA Enzyme Database (brenda-enzymes.org)"/>
    <hyperlink ref="A31" r:id="rId100" display="PF05870"/>
    <hyperlink ref="B31" r:id="rId101" display="Phenolic acid decarboxylase (PAD)"/>
    <hyperlink ref="M31" r:id="rId102" display="Bacillus subtilis (strain 168)"/>
    <hyperlink ref="X31" r:id="rId103" display="Information on EC 4.1.1.102 - phenacrylate decarboxylase - BRENDA Enzyme Database (brenda-enzymes.org)"/>
    <hyperlink ref="A32" r:id="rId104" display="PF05292"/>
    <hyperlink ref="B32" r:id="rId105" display="Malonyl-CoA decarboxylase C-terminal domain"/>
    <hyperlink ref="M32" r:id="rId106" display="Homo sapiens (Human)"/>
    <hyperlink ref="V32" r:id="rId107" display="map00410"/>
    <hyperlink ref="X32" r:id="rId108" display="Information on EC 4.1.1.9 - malonyl-CoA decarboxylase - BRENDA Enzyme Database (brenda-enzymes.org)"/>
    <hyperlink ref="A33" r:id="rId109" display="PF17408"/>
    <hyperlink ref="B33" r:id="rId110" display="Malonyl-CoA decarboxylase N-terminal domain"/>
    <hyperlink ref="M33" r:id="rId111" display="Homo sapiens (Human)"/>
    <hyperlink ref="V33" r:id="rId112" display="map00410"/>
    <hyperlink ref="X33" r:id="rId113" display="Information on EC 4.1.1.9 - malonyl-CoA decarboxylase - BRENDA Enzyme Database (brenda-enzymes.org)"/>
    <hyperlink ref="A34" r:id="rId114" display="PF01276"/>
    <hyperlink ref="B34" r:id="rId115" display="Orn/Lys/Arg decarboxylase, major domain"/>
    <hyperlink ref="M34" r:id="rId116" display="Escherichia coli (strain K12)"/>
    <hyperlink ref="R34" r:id="rId117" display="PS00703 "/>
    <hyperlink ref="V34" r:id="rId118" display="map00470"/>
    <hyperlink ref="X34" r:id="rId119" display="Information on EC 4.1.1.116 - D-ornithine/D-lysine decarboxylase - BRENDA Enzyme Database (brenda-enzymes.org)"/>
    <hyperlink ref="A35" r:id="rId120" display="PF03711"/>
    <hyperlink ref="B35" r:id="rId121" display="Orn/Lys/Arg decarboxylase, C-terminal domain"/>
    <hyperlink ref="M35" r:id="rId122" display="Escherichia coli (strain K12)"/>
    <hyperlink ref="R35" r:id="rId123" display="PS00703 "/>
    <hyperlink ref="X35" r:id="rId124" display="Information on EC 4.1.1.19 - arginine decarboxylase - BRENDA Enzyme Database (brenda-enzymes.org)"/>
    <hyperlink ref="B36" r:id="rId125" display="Mevalonate 5-diphosphate decarboxylase C-terminal domain"/>
    <hyperlink ref="V36" r:id="rId126" display="&#10;map00900"/>
    <hyperlink ref="X36" r:id="rId127" display="Information on EC 4.1.1.33 - diphosphomevalonate decarboxylase - BRENDA Enzyme Database (brenda-enzymes.org)"/>
    <hyperlink ref="A37" r:id="rId128" display="PF09349"/>
    <hyperlink ref="B37" r:id="rId129" display="OHCU decarboxylase"/>
    <hyperlink ref="M37" r:id="rId130" display="Oryza sativa subsp. japonica (Rice)"/>
    <hyperlink ref="V37" r:id="rId131" display="map00230"/>
    <hyperlink ref="X37" r:id="rId132" display="Information on EC 4.1.1.97 - 2-oxo-4-hydroxy-4-carboxy-5-ureidoimidazoline decarboxylase - BRENDA Enzyme Database (brenda-enzymes.org)"/>
    <hyperlink ref="A38" r:id="rId133" display="PF17944"/>
    <hyperlink ref="B38" r:id="rId134" display="Arginine decarboxylase C-terminal helical extension"/>
    <hyperlink ref="R38" r:id="rId135" display="PS00878&#10;PS00879 "/>
    <hyperlink ref="V38" r:id="rId136" display="map00330"/>
    <hyperlink ref="X38" r:id="rId137" display="Information on EC 4.1.1.19 - arginine decarboxylase - BRENDA Enzyme Database (brenda-enzymes.org)"/>
    <hyperlink ref="R39" r:id="rId138" display="PS00879"/>
    <hyperlink ref="X39" r:id="rId139" display="Information on EC 4.1.1.116 - D-ornithine/D-lysine decarboxylase - BRENDA Enzyme Database (brenda-enzymes.org)"/>
    <hyperlink ref="B40" r:id="rId140" display="Tyrosine decarboxylase, C-terminal"/>
    <hyperlink ref="V40" r:id="rId141" display="map00350"/>
    <hyperlink ref="X40" r:id="rId142" location="COFACTOR" display="Information on EC 4.1.1.25 - tyrosine decarboxylase - BRENDA Enzyme Database (brenda-enzymes.org)"/>
    <hyperlink ref="A41" r:id="rId143" display="PF00215"/>
    <hyperlink ref="B41" r:id="rId144" display="Orotidine 5'-phosphate decarboxylase / HUMPS family"/>
    <hyperlink ref="V41" r:id="rId145" display="map00240"/>
    <hyperlink ref="X41" r:id="rId146" location="COFACTOR" display="Information on EC 4.1.1.23 - orotidine-5'-phosphate decarboxylase - BRENDA Enzyme Database (brenda-enzymes.org)"/>
    <hyperlink ref="A42" r:id="rId147" display="PF17950"/>
    <hyperlink ref="B42" r:id="rId148" display="S-adenosylmethionine decarboxylase N -terminal"/>
    <hyperlink ref="O42" r:id="rId149" display="PS51006 "/>
    <hyperlink ref="R42" r:id="rId150" display="PS01330"/>
    <hyperlink ref="V42" r:id="rId151" display="map00270"/>
    <hyperlink ref="X42" r:id="rId152" location="COFACTOR" display="Information on EC 4.1.1.50 - adenosylmethionine decarboxylase - BRENDA Enzyme Database (brenda-enzymes.org)"/>
    <hyperlink ref="A43" r:id="rId153" display="PF06314"/>
    <hyperlink ref="B43" r:id="rId154" display="Acetoacetate decarboxylase (ADC)"/>
    <hyperlink ref="M43" r:id="rId155" display="Chromobacterium violaceum (strain ATCC 12472 / DSM 30191 / JCM 1249 / NBRC 12614 / NCIMB 9131 / NCTC 9757)"/>
    <hyperlink ref="V43" r:id="rId156" display="map00650"/>
    <hyperlink ref="X43" r:id="rId157" display="Information on EC 4.1.1.4 - acetoacetate decarboxylase - BRENDA Enzyme Database (brenda-enzymes.org)"/>
    <hyperlink ref="A44" r:id="rId158" display="PF17528"/>
    <hyperlink ref="B44" r:id="rId159" display="Histidine decarboxylase maturation protein HdcB"/>
    <hyperlink ref="X44" r:id="rId160" location="NATURAL%20SUBSTRATE" display="Information on EC 4.1.1.22 - histidine decarboxylase - BRENDA Enzyme Database (brenda-enzymes.org)"/>
    <hyperlink ref="A45" r:id="rId161" display="PF06833"/>
    <hyperlink ref="B45" r:id="rId162" display="Malonate decarboxylase gamma subunit (MdcE)"/>
    <hyperlink ref="X45" r:id="rId163" location="SUBSTRATE" display="Information on EC 4.1.1.9 - malonyl-CoA decarboxylase - BRENDA Enzyme Database (brenda-enzymes.org)"/>
    <hyperlink ref="A46" r:id="rId164" display="PF02675"/>
    <hyperlink ref="B46" r:id="rId165" display="S-adenosylmethionine decarboxylase"/>
    <hyperlink ref="V46" r:id="rId166" display="map00270"/>
    <hyperlink ref="X46" r:id="rId167" display="Information on EC 4.1.1.50 - adenosylmethionine decarboxylase - BRENDA Enzyme Database (brenda-enzymes.org)"/>
    <hyperlink ref="A47" r:id="rId168" display="PF02666"/>
    <hyperlink ref="B47" r:id="rId169" display="Phosphatidylserine decarboxylase"/>
    <hyperlink ref="V47" r:id="rId170" display="map00564 "/>
    <hyperlink ref="X47" r:id="rId171" display="Information on EC 4.1.1.65 - phosphatidylserine decarboxylase - BRENDA Enzyme Database (brenda-enzymes.org)"/>
    <hyperlink ref="A48" r:id="rId172" display="PF12588"/>
    <hyperlink ref="B48" r:id="rId173" display="Phophatidylserine decarboxylase"/>
    <hyperlink ref="V48" r:id="rId174" display="map00564 "/>
    <hyperlink ref="X48" r:id="rId175" display="Information on EC 4.1.1.65 - phosphatidylserine decarboxylase - BRENDA Enzyme Database (brenda-enzymes.org)"/>
    <hyperlink ref="A49" r:id="rId176" display="PF01536"/>
    <hyperlink ref="B49" r:id="rId177" display="Adenosylmethionine decarboxylase"/>
    <hyperlink ref="V49" r:id="rId178" display="map00270"/>
    <hyperlink ref="X49" r:id="rId179" location="COFACTOR" display="Information on EC 4.1.1.50 - adenosylmethionine decarboxylase - BRENDA Enzyme Database (brenda-enzymes.org)"/>
    <hyperlink ref="A50" r:id="rId180" display="PF02627"/>
    <hyperlink ref="B50" r:id="rId181" display="Carboxymuconolactone decarboxylase family"/>
    <hyperlink ref="V50" r:id="rId182" display="map00362"/>
    <hyperlink ref="X50" r:id="rId183" display="Information on EC 4.1.1.44 - 4-carboxymuconolactone decarboxylase - BRENDA Enzyme Database (brenda-enzymes.org)"/>
    <hyperlink ref="A51" r:id="rId184" display="PF06857"/>
    <hyperlink ref="B51" r:id="rId185" display="Malonate decarboxylase delta subunit (MdcD)"/>
    <hyperlink ref="X51" r:id="rId186" location="SUBSTRATE" display="Information on EC 4.1.1.88 - biotin-independent malonate decarboxylase - BRENDA Enzyme Database (brenda-enzymes.org)"/>
    <hyperlink ref="A52" r:id="rId187" display="PF01862"/>
    <hyperlink ref="B52" r:id="rId188" display="Pyruvoyl-dependent arginine decarboxylase (PvlArgDC)"/>
    <hyperlink ref="V52" r:id="rId189" display="map00330"/>
    <hyperlink ref="X52" r:id="rId190" display="Information on EC 4.1.1.19 - arginine decarboxylase - BRENDA Enzyme Database (brenda-enzymes.org)"/>
    <hyperlink ref="A53" r:id="rId191" display="PF03306"/>
    <hyperlink ref="B53" r:id="rId192" display="Alpha-acetolactate decarboxylase"/>
    <hyperlink ref="V53" r:id="rId193" display="map00650"/>
    <hyperlink ref="X53" r:id="rId194" display="Information on EC 4.1.1.4 - acetoacetate decarboxylase - BRENDA Enzyme Database (brenda-enzymes.org)"/>
    <hyperlink ref="A54" r:id="rId195" display="PF01208"/>
    <hyperlink ref="B54" r:id="rId196" display="Uroporphyrinogen decarboxylase (URO-D)"/>
    <hyperlink ref="R54" r:id="rId197" display="PS00906&#10;PS00907"/>
    <hyperlink ref="V54" r:id="rId198" display="ec00860"/>
    <hyperlink ref="X54" r:id="rId199" location="COFACTOR" display="Information on EC 4.1.1.37 - uroporphyrinogen decarboxylase - BRENDA Enzyme Database (brenda-enzymes.org)"/>
    <hyperlink ref="A55" r:id="rId200" display="PF08132"/>
    <hyperlink ref="B55" r:id="rId201" display="S-adenosyl-l-methionine decarboxylase leader peptide"/>
    <hyperlink ref="V55" r:id="rId202" display="map00270"/>
    <hyperlink ref="X55" r:id="rId203" display="Information on EC 4.1.1.50 - adenosylmethionine decarboxylase - BRENDA Enzyme Database (brenda-enzymes.org)"/>
    <hyperlink ref="A56" r:id="rId204" display="PF17810"/>
    <hyperlink ref="B56" r:id="rId205" display="Arginine decarboxylase helical bundle domain"/>
    <hyperlink ref="R56" r:id="rId206" display="PS00878&#10;PS00879 "/>
    <hyperlink ref="V56" r:id="rId207" display="map00330"/>
    <hyperlink ref="X56" r:id="rId208" display="Information on EC 4.1.1.19 - arginine decarboxylase - BRENDA Enzyme Database (brenda-enzymes.org)"/>
    <hyperlink ref="A57" r:id="rId209" display="PF00282"/>
    <hyperlink ref="B57" r:id="rId210" display="Pyridoxal-dependent decarboxylase conserved domain"/>
    <hyperlink ref="R57" r:id="rId211" display="PS00392"/>
    <hyperlink ref="A58" r:id="rId212" display="PF00278"/>
    <hyperlink ref="B58" r:id="rId213" display="Pyridoxal-dependent decarboxylase, C-terminal sheet domain"/>
    <hyperlink ref="R58" r:id="rId214" display="PS00878&#10;PS00879  "/>
    <hyperlink ref="V58" r:id="rId215" display="ec00480"/>
    <hyperlink ref="X58" r:id="rId216" location="COFACTOR" display="Information on EC 4.1.1.17 - ornithine decarboxylase - BRENDA Enzyme Database (brenda-enzymes.org)"/>
    <hyperlink ref="A59" r:id="rId217" display="PF03709"/>
    <hyperlink ref="B59" r:id="rId218" display="Orn/Lys/Arg decarboxylase, N-terminal domain"/>
    <hyperlink ref="M59" r:id="rId219" display="Escherichia coli (strain K12)"/>
    <hyperlink ref="R59" r:id="rId220" display="PS00703 "/>
    <hyperlink ref="V59" r:id="rId221" display="map00330"/>
    <hyperlink ref="X59" r:id="rId222" display="Information on EC 4.1.1.19 - arginine decarboxylase - BRENDA Enzyme Database (brenda-enzymes.org)"/>
    <hyperlink ref="A60" r:id="rId223" display="PF17645"/>
    <hyperlink ref="B60" r:id="rId224" display="Arylmalonate decarboxylase"/>
    <hyperlink ref="X60" r:id="rId225" location="COFACTOR" display="Information on EC 4.1.1.76 - arylmalonate decarboxylase - BRENDA Enzyme Database (brenda-enzymes.org)"/>
    <hyperlink ref="A61" r:id="rId226" display="PF04277"/>
    <hyperlink ref="B61" r:id="rId227" display="Oxaloacetate decarboxylase, gamma chain"/>
    <hyperlink ref="M61" r:id="rId228" display="Homo sapiens (Human)"/>
    <hyperlink ref="V61" r:id="rId229" display="map00620"/>
    <hyperlink ref="X61" r:id="rId230" location="COFACTOR" display="Information on EC 4.1.1.112 - oxaloacetate decarboxylase - BRENDA Enzyme Database (brenda-enzymes.org)"/>
    <hyperlink ref="A62" r:id="rId231" display="PF11803"/>
    <hyperlink ref="B62" r:id="rId232" display="UDP-glucuronate decarboxylase N-terminal"/>
    <hyperlink ref="U62" r:id="rId233" display="transmembrane region"/>
    <hyperlink ref="V62" r:id="rId234" display="map00520"/>
    <hyperlink ref="X62" r:id="rId235" location="COFACTOR" display="Information on EC 4.1.1.35 - UDP-glucuronate decarboxylase - BRENDA Enzyme Database (brenda-enzymes.org)"/>
    <hyperlink ref="A63" r:id="rId236" display="PF03977"/>
    <hyperlink ref="B63" r:id="rId237" display="Na+-transporting oxaloacetate decarboxylase beta subunit"/>
    <hyperlink ref="V63" r:id="rId238" display="map00620"/>
    <hyperlink ref="X63" r:id="rId239" location="COFACTOR" display="Information on EC 4.1.1.112 - oxaloacetate decarboxylase - BRENDA Enzyme Database (brenda-enzymes.org)"/>
    <hyperlink ref="A64" r:id="rId240" display="PF01977"/>
    <hyperlink ref="B64" r:id="rId241" display="3-octaprenyl-4-hydroxybenzoate carboxy-lyase Rift-related domain"/>
    <hyperlink ref="V64" r:id="rId242" display="map00130"/>
    <hyperlink ref="X64" r:id="rId243" location="COFACTOR" display="Information on EC 4.1.1.98 - 4-hydroxy-3-polyprenylbenzoate decarboxylase - BRENDA Enzyme Database (brenda-enzymes.org)"/>
    <hyperlink ref="A65" r:id="rId244" display="PF20695"/>
    <hyperlink ref="B65" r:id="rId245" display="3-octaprenyl-4-hydroxybenzoate carboxy-lyase N-terminal domain"/>
    <hyperlink ref="V65" r:id="rId246" display="map00130"/>
    <hyperlink ref="X65" r:id="rId247" location="COFACTOR" display="Information on EC 4.1.1.98 - 4-hydroxy-3-polyprenylbenzoate decarboxylase - BRENDA Enzyme Database (brenda-enzymes.org)"/>
    <hyperlink ref="A66" r:id="rId248" display="PF01177"/>
    <hyperlink ref="B66" r:id="rId249" display="Asp/Glu/Hydantoin racemase"/>
    <hyperlink ref="R66" r:id="rId250" display="PS00923&#10;PS00924"/>
    <hyperlink ref="X66" r:id="rId251" location="COFACTOR" display="Information on EC 4.1.1.76 - arylmalonate decarboxylase - BRENDA Enzyme Database (brenda-enzymes.org)"/>
    <hyperlink ref="A67" r:id="rId252" display="PF09662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2024-08-01T11:46:21Z</dcterms:created>
  <dc:creator>Dila Piri</dc:creator>
  <dc:description/>
  <dc:language>de-DE</dc:language>
  <cp:lastModifiedBy/>
  <dcterms:modified xsi:type="dcterms:W3CDTF">2024-08-06T10:12:23Z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